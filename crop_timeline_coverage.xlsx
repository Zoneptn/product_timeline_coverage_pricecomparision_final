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"/>
    </mc:Choice>
  </mc:AlternateContent>
  <xr:revisionPtr revIDLastSave="0" documentId="13_ncr:1_{9EE5D742-2ADA-4A41-92EE-769650855E15}" xr6:coauthVersionLast="47" xr6:coauthVersionMax="47" xr10:uidLastSave="{00000000-0000-0000-0000-000000000000}"/>
  <bookViews>
    <workbookView xWindow="38980" yWindow="-5060" windowWidth="23440" windowHeight="19500" firstSheet="4" activeTab="5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crop_fer" sheetId="11" r:id="rId5"/>
    <sheet name="prod_her" sheetId="12" r:id="rId6"/>
    <sheet name="weed_her" sheetId="5" r:id="rId7"/>
    <sheet name="prod_ins" sheetId="13" r:id="rId8"/>
    <sheet name="pest_ins" sheetId="6" r:id="rId9"/>
    <sheet name="prod_fun" sheetId="14" r:id="rId10"/>
    <sheet name="disease_fun" sheetId="7" r:id="rId11"/>
    <sheet name="prod_fer" sheetId="16" r:id="rId12"/>
    <sheet name="fertilizer" sheetId="8" r:id="rId13"/>
    <sheet name="crop_ref" sheetId="10" r:id="rId14"/>
    <sheet name="price_history" sheetId="17" r:id="rId15"/>
    <sheet name="ref" sheetId="9" r:id="rId16"/>
  </sheets>
  <definedNames>
    <definedName name="_xlnm._FilterDatabase" localSheetId="3" hidden="1">crop_disease!$A$1:$H$19</definedName>
    <definedName name="_xlnm._FilterDatabase" localSheetId="2" hidden="1">crop_pest!$A$1:$G$52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6" hidden="1">weed_her!$A$1:$F$86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7" l="1"/>
  <c r="H16" i="17"/>
  <c r="H17" i="17"/>
  <c r="H18" i="17"/>
  <c r="H19" i="17"/>
  <c r="H20" i="17"/>
  <c r="H21" i="17"/>
  <c r="G13" i="17"/>
  <c r="G14" i="17"/>
  <c r="G15" i="17"/>
  <c r="G16" i="17"/>
  <c r="G17" i="17"/>
  <c r="G18" i="17"/>
  <c r="G19" i="17"/>
  <c r="G20" i="17"/>
  <c r="F13" i="17"/>
  <c r="F14" i="17"/>
  <c r="F15" i="17"/>
  <c r="F16" i="17"/>
  <c r="F17" i="17"/>
  <c r="F18" i="17"/>
  <c r="F19" i="17"/>
  <c r="E16" i="17"/>
  <c r="E17" i="17"/>
  <c r="E18" i="17"/>
  <c r="E19" i="17"/>
  <c r="E22" i="17"/>
  <c r="D17" i="17"/>
  <c r="D18" i="17"/>
  <c r="D19" i="17"/>
  <c r="J18" i="17"/>
  <c r="J19" i="17"/>
  <c r="J3" i="17"/>
  <c r="J4" i="17"/>
  <c r="J5" i="17"/>
  <c r="J6" i="17"/>
  <c r="J7" i="17"/>
  <c r="J8" i="17"/>
  <c r="H8" i="17" s="1"/>
  <c r="J9" i="17"/>
  <c r="G9" i="17" s="1"/>
  <c r="J10" i="17"/>
  <c r="E10" i="17" s="1"/>
  <c r="J11" i="17"/>
  <c r="E11" i="17" s="1"/>
  <c r="J12" i="17"/>
  <c r="J13" i="17"/>
  <c r="J14" i="17"/>
  <c r="J15" i="17"/>
  <c r="J16" i="17"/>
  <c r="J17" i="17"/>
  <c r="E3" i="17"/>
  <c r="E4" i="17"/>
  <c r="E5" i="17"/>
  <c r="E6" i="17"/>
  <c r="E7" i="17"/>
  <c r="E8" i="17"/>
  <c r="E9" i="17"/>
  <c r="E14" i="17"/>
  <c r="E15" i="17"/>
  <c r="H14" i="17"/>
  <c r="D14" i="17"/>
  <c r="D15" i="17"/>
  <c r="D16" i="17"/>
  <c r="F12" i="17"/>
  <c r="H3" i="17"/>
  <c r="H4" i="17"/>
  <c r="H5" i="17"/>
  <c r="H6" i="17"/>
  <c r="H7" i="17"/>
  <c r="G101" i="17"/>
  <c r="F101" i="17"/>
  <c r="G100" i="17"/>
  <c r="F100" i="17"/>
  <c r="G99" i="17"/>
  <c r="F99" i="17"/>
  <c r="G98" i="17"/>
  <c r="F98" i="17"/>
  <c r="G97" i="17"/>
  <c r="F97" i="17"/>
  <c r="G96" i="17"/>
  <c r="F96" i="17"/>
  <c r="G95" i="17"/>
  <c r="F95" i="17"/>
  <c r="G94" i="17"/>
  <c r="F94" i="17"/>
  <c r="G93" i="17"/>
  <c r="F93" i="17"/>
  <c r="G92" i="17"/>
  <c r="F92" i="17"/>
  <c r="G91" i="17"/>
  <c r="F91" i="17"/>
  <c r="G90" i="17"/>
  <c r="F90" i="17"/>
  <c r="G89" i="17"/>
  <c r="F89" i="17"/>
  <c r="G88" i="17"/>
  <c r="F88" i="17"/>
  <c r="G87" i="17"/>
  <c r="F87" i="17"/>
  <c r="G86" i="17"/>
  <c r="F86" i="17"/>
  <c r="G85" i="17"/>
  <c r="F85" i="17"/>
  <c r="G84" i="17"/>
  <c r="F84" i="17"/>
  <c r="G83" i="17"/>
  <c r="F83" i="17"/>
  <c r="G82" i="17"/>
  <c r="F82" i="17"/>
  <c r="G81" i="17"/>
  <c r="F81" i="17"/>
  <c r="G80" i="17"/>
  <c r="F80" i="17"/>
  <c r="G79" i="17"/>
  <c r="F79" i="17"/>
  <c r="G78" i="17"/>
  <c r="F78" i="17"/>
  <c r="G77" i="17"/>
  <c r="F77" i="17"/>
  <c r="G76" i="17"/>
  <c r="F76" i="17"/>
  <c r="G75" i="17"/>
  <c r="F75" i="17"/>
  <c r="G74" i="17"/>
  <c r="F74" i="17"/>
  <c r="G73" i="17"/>
  <c r="F73" i="17"/>
  <c r="G72" i="17"/>
  <c r="F72" i="17"/>
  <c r="G71" i="17"/>
  <c r="F71" i="17"/>
  <c r="G70" i="17"/>
  <c r="F70" i="17"/>
  <c r="G69" i="17"/>
  <c r="F69" i="17"/>
  <c r="G68" i="17"/>
  <c r="F68" i="17"/>
  <c r="G67" i="17"/>
  <c r="F67" i="17"/>
  <c r="G66" i="17"/>
  <c r="F66" i="17"/>
  <c r="G65" i="17"/>
  <c r="F65" i="17"/>
  <c r="G64" i="17"/>
  <c r="F64" i="17"/>
  <c r="G63" i="17"/>
  <c r="F63" i="17"/>
  <c r="G62" i="17"/>
  <c r="F62" i="17"/>
  <c r="G61" i="17"/>
  <c r="F61" i="17"/>
  <c r="G60" i="17"/>
  <c r="F60" i="17"/>
  <c r="G59" i="17"/>
  <c r="F59" i="17"/>
  <c r="G58" i="17"/>
  <c r="F58" i="17"/>
  <c r="G57" i="17"/>
  <c r="F57" i="17"/>
  <c r="G56" i="17"/>
  <c r="F56" i="17"/>
  <c r="G55" i="17"/>
  <c r="F55" i="17"/>
  <c r="G54" i="17"/>
  <c r="F54" i="17"/>
  <c r="G53" i="17"/>
  <c r="F53" i="17"/>
  <c r="G52" i="17"/>
  <c r="F52" i="17"/>
  <c r="G51" i="17"/>
  <c r="F51" i="17"/>
  <c r="G50" i="17"/>
  <c r="F50" i="17"/>
  <c r="G49" i="17"/>
  <c r="F49" i="17"/>
  <c r="G48" i="17"/>
  <c r="F48" i="17"/>
  <c r="G47" i="17"/>
  <c r="F47" i="17"/>
  <c r="G46" i="17"/>
  <c r="F46" i="17"/>
  <c r="G45" i="17"/>
  <c r="F45" i="17"/>
  <c r="G44" i="17"/>
  <c r="F44" i="17"/>
  <c r="G43" i="17"/>
  <c r="F43" i="17"/>
  <c r="G42" i="17"/>
  <c r="F42" i="17"/>
  <c r="G41" i="17"/>
  <c r="F41" i="17"/>
  <c r="G40" i="17"/>
  <c r="F40" i="17"/>
  <c r="G39" i="17"/>
  <c r="F39" i="17"/>
  <c r="G38" i="17"/>
  <c r="F38" i="17"/>
  <c r="G37" i="17"/>
  <c r="F37" i="17"/>
  <c r="G36" i="17"/>
  <c r="F36" i="17"/>
  <c r="G35" i="17"/>
  <c r="F35" i="17"/>
  <c r="G34" i="17"/>
  <c r="F34" i="17"/>
  <c r="G33" i="17"/>
  <c r="F33" i="17"/>
  <c r="G32" i="17"/>
  <c r="F32" i="17"/>
  <c r="G31" i="17"/>
  <c r="F31" i="17"/>
  <c r="G30" i="17"/>
  <c r="F30" i="17"/>
  <c r="G29" i="17"/>
  <c r="F29" i="17"/>
  <c r="G28" i="17"/>
  <c r="F28" i="17"/>
  <c r="G27" i="17"/>
  <c r="F27" i="17"/>
  <c r="G26" i="17"/>
  <c r="F26" i="17"/>
  <c r="G25" i="17"/>
  <c r="F25" i="17"/>
  <c r="G24" i="17"/>
  <c r="F24" i="17"/>
  <c r="G23" i="17"/>
  <c r="F23" i="17"/>
  <c r="G22" i="17"/>
  <c r="F22" i="17"/>
  <c r="G4" i="17"/>
  <c r="F4" i="17"/>
  <c r="G2" i="17"/>
  <c r="F2" i="17"/>
  <c r="J101" i="17"/>
  <c r="J100" i="17"/>
  <c r="J99" i="17"/>
  <c r="E99" i="17" s="1"/>
  <c r="J98" i="17"/>
  <c r="E98" i="17" s="1"/>
  <c r="J97" i="17"/>
  <c r="D97" i="17" s="1"/>
  <c r="J96" i="17"/>
  <c r="J95" i="17"/>
  <c r="D95" i="17" s="1"/>
  <c r="E95" i="17"/>
  <c r="J94" i="17"/>
  <c r="J93" i="17"/>
  <c r="J92" i="17"/>
  <c r="J91" i="17"/>
  <c r="D91" i="17"/>
  <c r="J90" i="17"/>
  <c r="E90" i="17"/>
  <c r="J89" i="17"/>
  <c r="J88" i="17"/>
  <c r="E88" i="17" s="1"/>
  <c r="J87" i="17"/>
  <c r="D87" i="17"/>
  <c r="J86" i="17"/>
  <c r="J85" i="17"/>
  <c r="J84" i="17"/>
  <c r="D84" i="17" s="1"/>
  <c r="J83" i="17"/>
  <c r="E83" i="17"/>
  <c r="J82" i="17"/>
  <c r="E82" i="17"/>
  <c r="J81" i="17"/>
  <c r="J80" i="17"/>
  <c r="E80" i="17" s="1"/>
  <c r="J79" i="17"/>
  <c r="J78" i="17"/>
  <c r="J77" i="17"/>
  <c r="E77" i="17" s="1"/>
  <c r="J76" i="17"/>
  <c r="E76" i="17" s="1"/>
  <c r="D76" i="17"/>
  <c r="J75" i="17"/>
  <c r="J74" i="17"/>
  <c r="J73" i="17"/>
  <c r="D73" i="17" s="1"/>
  <c r="J72" i="17"/>
  <c r="J71" i="17"/>
  <c r="J70" i="17"/>
  <c r="J69" i="17"/>
  <c r="E69" i="17" s="1"/>
  <c r="D69" i="17"/>
  <c r="J68" i="17"/>
  <c r="J67" i="17"/>
  <c r="J66" i="17"/>
  <c r="E66" i="17" s="1"/>
  <c r="J65" i="17"/>
  <c r="J64" i="17"/>
  <c r="J63" i="17"/>
  <c r="J62" i="17"/>
  <c r="D62" i="17" s="1"/>
  <c r="J61" i="17"/>
  <c r="E61" i="17"/>
  <c r="J60" i="17"/>
  <c r="J59" i="17"/>
  <c r="J58" i="17"/>
  <c r="J57" i="17"/>
  <c r="J56" i="17"/>
  <c r="J55" i="17"/>
  <c r="E55" i="17" s="1"/>
  <c r="J54" i="17"/>
  <c r="J53" i="17"/>
  <c r="D53" i="17"/>
  <c r="J52" i="17"/>
  <c r="J51" i="17"/>
  <c r="D51" i="17" s="1"/>
  <c r="J50" i="17"/>
  <c r="J49" i="17"/>
  <c r="J48" i="17"/>
  <c r="J47" i="17"/>
  <c r="D47" i="17"/>
  <c r="J46" i="17"/>
  <c r="E46" i="17"/>
  <c r="D46" i="17"/>
  <c r="J45" i="17"/>
  <c r="J44" i="17"/>
  <c r="E44" i="17" s="1"/>
  <c r="J43" i="17"/>
  <c r="D43" i="17" s="1"/>
  <c r="J42" i="17"/>
  <c r="D42" i="17"/>
  <c r="J41" i="17"/>
  <c r="J40" i="17"/>
  <c r="D40" i="17" s="1"/>
  <c r="J39" i="17"/>
  <c r="J38" i="17"/>
  <c r="J37" i="17"/>
  <c r="J36" i="17"/>
  <c r="E36" i="17" s="1"/>
  <c r="J35" i="17"/>
  <c r="J34" i="17"/>
  <c r="J33" i="17"/>
  <c r="E33" i="17" s="1"/>
  <c r="J32" i="17"/>
  <c r="J31" i="17"/>
  <c r="D31" i="17"/>
  <c r="J30" i="17"/>
  <c r="J29" i="17"/>
  <c r="D29" i="17" s="1"/>
  <c r="J28" i="17"/>
  <c r="J27" i="17"/>
  <c r="D27" i="17" s="1"/>
  <c r="J26" i="17"/>
  <c r="J25" i="17"/>
  <c r="J24" i="17"/>
  <c r="D24" i="17"/>
  <c r="J23" i="17"/>
  <c r="J22" i="17"/>
  <c r="J21" i="17"/>
  <c r="G21" i="17" s="1"/>
  <c r="J20" i="17"/>
  <c r="F20" i="17" s="1"/>
  <c r="D7" i="17"/>
  <c r="F6" i="17"/>
  <c r="G5" i="17"/>
  <c r="G3" i="17"/>
  <c r="J2" i="17"/>
  <c r="H2" i="17" s="1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2" i="16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" i="7"/>
  <c r="D3" i="6"/>
  <c r="D4" i="6"/>
  <c r="D5" i="6"/>
  <c r="D6" i="6"/>
  <c r="D7" i="6"/>
  <c r="D8" i="6"/>
  <c r="D9" i="6"/>
  <c r="D10" i="6"/>
  <c r="D11" i="6"/>
  <c r="D12" i="6"/>
  <c r="D13" i="6"/>
  <c r="D14" i="6"/>
  <c r="D2" i="6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" i="5"/>
  <c r="C28" i="5"/>
  <c r="C27" i="5"/>
  <c r="C26" i="5"/>
  <c r="C25" i="5"/>
  <c r="C24" i="5"/>
  <c r="C14" i="5"/>
  <c r="C15" i="5"/>
  <c r="C16" i="5"/>
  <c r="C17" i="5"/>
  <c r="C11" i="5"/>
  <c r="C12" i="5"/>
  <c r="C13" i="5"/>
  <c r="C21" i="5"/>
  <c r="C22" i="5"/>
  <c r="C23" i="5"/>
  <c r="C18" i="5"/>
  <c r="C19" i="5"/>
  <c r="C20" i="5"/>
  <c r="E21" i="17" l="1"/>
  <c r="F21" i="17"/>
  <c r="E20" i="17"/>
  <c r="H12" i="17"/>
  <c r="H13" i="17"/>
  <c r="D11" i="17"/>
  <c r="E13" i="17"/>
  <c r="G12" i="17"/>
  <c r="F9" i="17"/>
  <c r="H9" i="17"/>
  <c r="D13" i="17"/>
  <c r="E12" i="17"/>
  <c r="F8" i="17"/>
  <c r="D12" i="17"/>
  <c r="D10" i="17"/>
  <c r="H11" i="17"/>
  <c r="G11" i="17"/>
  <c r="F11" i="17"/>
  <c r="H10" i="17"/>
  <c r="G10" i="17"/>
  <c r="F10" i="17"/>
  <c r="G8" i="17"/>
  <c r="F7" i="17"/>
  <c r="G7" i="17"/>
  <c r="G6" i="17"/>
  <c r="F5" i="17"/>
  <c r="F3" i="17"/>
  <c r="E73" i="17"/>
  <c r="E47" i="17"/>
  <c r="D50" i="17"/>
  <c r="D93" i="17"/>
  <c r="D58" i="17"/>
  <c r="D61" i="17"/>
  <c r="D86" i="17"/>
  <c r="E93" i="17"/>
  <c r="D98" i="17"/>
  <c r="E40" i="17"/>
  <c r="D5" i="17"/>
  <c r="D25" i="17"/>
  <c r="D28" i="17"/>
  <c r="E79" i="17"/>
  <c r="E28" i="17"/>
  <c r="D49" i="17"/>
  <c r="D60" i="17"/>
  <c r="D101" i="17"/>
  <c r="D57" i="17"/>
  <c r="E60" i="17"/>
  <c r="D83" i="17"/>
  <c r="E24" i="17"/>
  <c r="E57" i="17"/>
  <c r="D71" i="17"/>
  <c r="D3" i="17"/>
  <c r="D36" i="17"/>
  <c r="D38" i="17"/>
  <c r="E43" i="17"/>
  <c r="E50" i="17"/>
  <c r="D64" i="17"/>
  <c r="E71" i="17"/>
  <c r="D79" i="17"/>
  <c r="E101" i="17"/>
  <c r="E29" i="17"/>
  <c r="D39" i="17"/>
  <c r="E25" i="17"/>
  <c r="E39" i="17"/>
  <c r="E2" i="17"/>
  <c r="D35" i="17"/>
  <c r="E68" i="17"/>
  <c r="D65" i="17"/>
  <c r="D32" i="17"/>
  <c r="E62" i="17"/>
  <c r="E65" i="17"/>
  <c r="D72" i="17"/>
  <c r="E91" i="17"/>
  <c r="D2" i="17"/>
  <c r="D6" i="17"/>
  <c r="E32" i="17"/>
  <c r="E58" i="17"/>
  <c r="D68" i="17"/>
  <c r="E72" i="17"/>
  <c r="D21" i="17"/>
  <c r="E35" i="17"/>
  <c r="E51" i="17"/>
  <c r="D54" i="17"/>
  <c r="D80" i="17"/>
  <c r="D82" i="17"/>
  <c r="E84" i="17"/>
  <c r="E87" i="17"/>
  <c r="D94" i="17"/>
  <c r="E54" i="17"/>
  <c r="D75" i="17"/>
  <c r="D90" i="17"/>
  <c r="E94" i="17"/>
  <c r="D20" i="17"/>
  <c r="E31" i="17"/>
  <c r="E42" i="17"/>
  <c r="E64" i="17"/>
  <c r="D23" i="17"/>
  <c r="E38" i="17"/>
  <c r="D67" i="17"/>
  <c r="D100" i="17"/>
  <c r="D8" i="17"/>
  <c r="E23" i="17"/>
  <c r="D30" i="17"/>
  <c r="E34" i="17"/>
  <c r="D41" i="17"/>
  <c r="E45" i="17"/>
  <c r="D52" i="17"/>
  <c r="E56" i="17"/>
  <c r="D63" i="17"/>
  <c r="E67" i="17"/>
  <c r="D74" i="17"/>
  <c r="E78" i="17"/>
  <c r="D85" i="17"/>
  <c r="E89" i="17"/>
  <c r="D96" i="17"/>
  <c r="E100" i="17"/>
  <c r="D9" i="17"/>
  <c r="E86" i="17"/>
  <c r="E97" i="17"/>
  <c r="D45" i="17"/>
  <c r="E49" i="17"/>
  <c r="D78" i="17"/>
  <c r="D89" i="17"/>
  <c r="D26" i="17"/>
  <c r="E30" i="17"/>
  <c r="D37" i="17"/>
  <c r="E41" i="17"/>
  <c r="D48" i="17"/>
  <c r="E52" i="17"/>
  <c r="D59" i="17"/>
  <c r="E63" i="17"/>
  <c r="D70" i="17"/>
  <c r="E74" i="17"/>
  <c r="D81" i="17"/>
  <c r="E85" i="17"/>
  <c r="D92" i="17"/>
  <c r="E96" i="17"/>
  <c r="E27" i="17"/>
  <c r="D56" i="17"/>
  <c r="D4" i="17"/>
  <c r="D22" i="17"/>
  <c r="E26" i="17"/>
  <c r="D33" i="17"/>
  <c r="E37" i="17"/>
  <c r="D44" i="17"/>
  <c r="E48" i="17"/>
  <c r="D55" i="17"/>
  <c r="E59" i="17"/>
  <c r="D66" i="17"/>
  <c r="E70" i="17"/>
  <c r="D77" i="17"/>
  <c r="E81" i="17"/>
  <c r="D88" i="17"/>
  <c r="E92" i="17"/>
  <c r="D99" i="17"/>
  <c r="E53" i="17"/>
  <c r="E75" i="17"/>
  <c r="D34" i="17"/>
  <c r="C3" i="5"/>
  <c r="C4" i="5"/>
  <c r="C5" i="5"/>
  <c r="C6" i="5"/>
  <c r="C7" i="5"/>
  <c r="C8" i="5"/>
  <c r="C9" i="5"/>
  <c r="C10" i="5"/>
  <c r="C2" i="5"/>
  <c r="B11" i="6"/>
  <c r="B12" i="6"/>
  <c r="B13" i="6"/>
  <c r="B14" i="6"/>
  <c r="B3" i="6"/>
  <c r="B4" i="6"/>
  <c r="B5" i="6"/>
  <c r="B6" i="6"/>
  <c r="B7" i="6"/>
  <c r="B8" i="6"/>
  <c r="B9" i="6"/>
  <c r="B10" i="6"/>
  <c r="B2" i="6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<sst xmlns="http://schemas.openxmlformats.org/spreadsheetml/2006/main" count="2318" uniqueCount="1055">
  <si>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</si>
  <si>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</si>
  <si>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</si>
  <si>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</si>
  <si>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</si>
  <si>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</si>
  <si>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</si>
  <si>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</si>
  <si>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</si>
  <si>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</si>
  <si>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</si>
  <si>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</si>
  <si>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</si>
  <si>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</si>
  <si>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</si>
  <si>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</si>
  <si>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</si>
  <si>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</si>
  <si>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</si>
  <si>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</si>
  <si>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</si>
  <si>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</si>
  <si>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</si>
  <si>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</si>
  <si>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</si>
  <si>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</si>
  <si>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</si>
  <si>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</si>
  <si>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</si>
  <si>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</si>
  <si>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</si>
  <si>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</si>
  <si>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</si>
  <si>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</si>
  <si>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</si>
  <si>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</si>
  <si>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</si>
  <si>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</si>
  <si>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</si>
  <si>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</si>
  <si>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</si>
  <si>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</si>
  <si>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</si>
  <si>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</si>
  <si>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</si>
  <si>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</si>
  <si>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</si>
  <si>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</si>
  <si>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</si>
  <si>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</si>
  <si>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</si>
  <si>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</si>
  <si>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</si>
  <si>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</si>
  <si>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</si>
  <si>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</si>
  <si>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</si>
  <si>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</si>
  <si>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</si>
  <si>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</si>
  <si>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</si>
  <si>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</si>
  <si>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</si>
  <si>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</si>
  <si>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</si>
  <si>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</si>
  <si>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</si>
  <si>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</si>
  <si>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</si>
  <si>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</si>
  <si>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</si>
  <si>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</si>
  <si>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</si>
  <si>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</si>
  <si>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</si>
  <si>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</si>
  <si>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</si>
  <si>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</si>
  <si>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</si>
  <si>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</si>
  <si>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</si>
  <si>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</si>
  <si>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</si>
  <si>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</si>
  <si>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</si>
  <si>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</si>
  <si>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</si>
  <si>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</si>
  <si>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</si>
  <si>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</si>
  <si>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</si>
  <si>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</si>
  <si>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</si>
  <si>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</si>
  <si>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</si>
  <si>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</si>
  <si>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</si>
  <si>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</si>
  <si>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</si>
  <si>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</si>
  <si>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</si>
  <si>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</si>
  <si>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</si>
  <si>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</si>
  <si>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</si>
  <si>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</si>
  <si>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</si>
  <si>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</si>
  <si>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</si>
  <si>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</si>
  <si>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</si>
  <si>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</si>
  <si>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</si>
  <si>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</si>
  <si>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</si>
  <si>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</si>
  <si>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</si>
  <si>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</si>
  <si>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</si>
  <si>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</si>
  <si>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</si>
  <si>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</si>
  <si>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</si>
  <si>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</si>
  <si>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</si>
  <si>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</si>
  <si>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</si>
  <si>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</si>
  <si>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</si>
  <si>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</si>
  <si>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</si>
  <si>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</si>
  <si>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</si>
  <si>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</si>
  <si>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</si>
  <si>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</si>
  <si>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</si>
  <si>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</si>
  <si>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</si>
  <si>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</si>
  <si>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</si>
  <si>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</si>
  <si>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</si>
  <si>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</si>
  <si>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</si>
  <si>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</si>
  <si>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</si>
  <si>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</si>
  <si>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</si>
  <si>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</si>
  <si>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</si>
  <si>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</si>
  <si>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</si>
  <si>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</si>
  <si>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</si>
  <si>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</si>
  <si>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</si>
  <si>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</si>
  <si>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</si>
  <si>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</si>
  <si>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</si>
  <si>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</si>
  <si>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</si>
  <si>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</si>
  <si>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</si>
  <si>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</si>
  <si>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</si>
  <si>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</si>
  <si>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</si>
  <si>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</si>
  <si>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</si>
  <si>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</si>
  <si>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</si>
  <si>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</si>
  <si>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</si>
  <si>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</si>
  <si>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</si>
  <si>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</si>
  <si>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</si>
  <si>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</si>
  <si>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</si>
  <si>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</si>
  <si>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</si>
  <si>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</si>
  <si>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</si>
  <si>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</si>
  <si>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</si>
  <si>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</si>
  <si>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</si>
  <si>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</si>
  <si>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</si>
  <si>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</si>
  <si>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hrac_code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</si>
  <si>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</si>
  <si>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</si>
  <si>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</si>
  <si>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</si>
  <si>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</si>
  <si>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</si>
  <si>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</si>
  <si>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</si>
  <si>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</si>
  <si>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</si>
  <si>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</si>
  <si>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</si>
  <si>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</si>
  <si>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</si>
  <si>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</si>
  <si>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</si>
  <si>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</si>
  <si>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</si>
  <si>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</si>
  <si>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</si>
  <si>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</si>
  <si>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</si>
  <si>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</si>
  <si>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</si>
  <si>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</si>
  <si>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</si>
  <si>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</si>
  <si>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</si>
  <si>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</si>
  <si>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</si>
  <si>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</si>
  <si>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</si>
  <si>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</si>
  <si>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</si>
  <si>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</si>
  <si>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</si>
  <si>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</si>
  <si>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</si>
  <si>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</si>
  <si>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</si>
  <si>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</si>
  <si>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</si>
  <si>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</si>
  <si>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</si>
  <si>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</si>
  <si>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</si>
  <si>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</si>
  <si>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</si>
  <si>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</si>
  <si>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</si>
  <si>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</si>
  <si>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</si>
  <si>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</si>
  <si>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</si>
  <si>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</si>
  <si>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</si>
  <si>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</si>
  <si>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</si>
  <si>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</si>
  <si>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</si>
  <si>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</si>
  <si>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</si>
  <si>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</si>
  <si>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</si>
  <si>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</si>
  <si>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</si>
  <si>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</si>
  <si>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</si>
  <si>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</si>
  <si>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>fipronil</t>
  </si>
  <si>
    <t>carbendazim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</si>
  <si>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</si>
  <si>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</si>
  <si>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</si>
  <si>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</si>
  <si>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</si>
  <si>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</si>
  <si>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</si>
  <si>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</si>
  <si>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</si>
  <si>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</si>
  <si>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</si>
  <si>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</si>
  <si>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</si>
  <si>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</si>
  <si>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</si>
  <si>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</si>
  <si>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profoxydim</t>
  </si>
  <si>
    <t>6</t>
  </si>
  <si>
    <t>15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</si>
  <si>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</si>
  <si>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</si>
  <si>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</si>
  <si>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</si>
  <si>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</si>
  <si>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</si>
  <si>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</si>
  <si>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</si>
  <si>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</si>
  <si>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</si>
  <si>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</si>
  <si>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</si>
  <si>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</si>
  <si>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</si>
  <si>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</si>
  <si>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</si>
  <si>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</si>
  <si>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</si>
  <si>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</si>
  <si>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</si>
  <si>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</si>
  <si>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</si>
  <si>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</si>
  <si>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</si>
  <si>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</si>
  <si>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</si>
  <si>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</si>
  <si>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</si>
  <si>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</si>
  <si>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</si>
  <si>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</si>
  <si>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</si>
  <si>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</si>
  <si>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</si>
  <si>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</si>
  <si>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</si>
  <si>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</si>
  <si>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</si>
  <si>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</si>
  <si>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</si>
  <si>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</si>
  <si>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</si>
  <si>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</si>
  <si>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</si>
  <si>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</si>
  <si>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</si>
  <si>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</si>
  <si>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</si>
  <si>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</si>
  <si>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</si>
  <si>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</si>
  <si>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</si>
  <si>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</si>
  <si>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</si>
  <si>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</si>
  <si>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</si>
  <si>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</si>
  <si>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</si>
  <si>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</si>
  <si>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</si>
  <si>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</si>
  <si>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</si>
  <si>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</si>
  <si>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</si>
  <si>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</si>
  <si>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</si>
  <si>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</si>
  <si>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</si>
  <si>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</si>
  <si>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</si>
  <si>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</si>
  <si>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</si>
  <si>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</si>
  <si>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</si>
  <si>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</si>
  <si>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</si>
  <si>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</si>
  <si>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</si>
  <si>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</si>
  <si>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</si>
  <si>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</si>
  <si>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</si>
  <si>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</si>
  <si>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</si>
  <si>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</si>
  <si>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</si>
  <si>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</si>
  <si>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</si>
  <si>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</si>
  <si>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</si>
  <si>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</si>
  <si>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</si>
  <si>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</si>
  <si>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</si>
  <si>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</si>
  <si>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</si>
  <si>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</si>
  <si>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</si>
  <si>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</si>
  <si>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</si>
  <si>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</si>
  <si>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</si>
  <si>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</si>
  <si>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</si>
  <si>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</si>
  <si>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</si>
  <si>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</si>
  <si>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</si>
  <si>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</si>
  <si>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</si>
  <si>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</si>
  <si>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</si>
  <si>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</si>
  <si>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</si>
  <si>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</si>
  <si>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</si>
  <si>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</si>
  <si>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</si>
  <si>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</si>
  <si>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</si>
  <si>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</si>
  <si>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</si>
  <si>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</si>
  <si>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</si>
  <si>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</si>
  <si>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</si>
  <si>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</si>
  <si>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</si>
  <si>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</si>
  <si>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</si>
  <si>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</si>
  <si>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</si>
  <si>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</si>
  <si>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</si>
  <si>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</si>
  <si>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</si>
  <si>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</si>
  <si>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</si>
  <si>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</si>
  <si>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</si>
  <si>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</si>
  <si>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</si>
  <si>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</si>
  <si>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</si>
  <si>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</si>
  <si>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</si>
  <si>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</si>
  <si>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</si>
  <si>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</si>
  <si>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</si>
  <si>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</si>
  <si>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</si>
  <si>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</si>
  <si>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</si>
  <si>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</si>
  <si>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</si>
  <si>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</si>
  <si>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</si>
  <si>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</si>
  <si>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</si>
  <si>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</si>
  <si>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</si>
  <si>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</si>
  <si>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</si>
  <si>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</si>
  <si>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</si>
  <si>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</si>
  <si>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</si>
  <si>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</si>
  <si>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</si>
  <si>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</si>
  <si>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</si>
  <si>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</si>
  <si>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</si>
  <si>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</si>
  <si>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</si>
  <si>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</si>
  <si>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</si>
  <si>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</si>
  <si>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</si>
  <si>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</si>
  <si>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</si>
  <si>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</si>
  <si>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</si>
  <si>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</si>
  <si>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</si>
  <si>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</si>
  <si>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</si>
  <si>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</si>
  <si>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</si>
  <si>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</si>
  <si>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</si>
  <si>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</si>
  <si>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</si>
  <si>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</si>
  <si>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</si>
  <si>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</si>
  <si>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</si>
  <si>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</si>
  <si>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</si>
  <si>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</si>
  <si>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</si>
  <si>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</si>
  <si>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</si>
  <si>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</si>
  <si>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</si>
  <si>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</si>
  <si>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</si>
  <si>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</si>
  <si>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</si>
  <si>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</si>
  <si>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</si>
  <si>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</si>
  <si>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</si>
  <si>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</si>
  <si>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</si>
  <si>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</si>
  <si>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</si>
  <si>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</si>
  <si>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</si>
  <si>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</si>
  <si>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</si>
  <si>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</si>
  <si>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</si>
  <si>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</si>
  <si>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</si>
  <si>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</si>
  <si>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</si>
  <si>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</si>
  <si>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</si>
  <si>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</si>
  <si>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</si>
  <si>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</si>
  <si>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</si>
  <si>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</si>
  <si>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</si>
  <si>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</si>
  <si>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</si>
  <si>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</si>
  <si>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</si>
  <si>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</si>
  <si>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</si>
  <si>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</si>
  <si>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</si>
  <si>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</si>
  <si>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</si>
  <si>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</si>
  <si>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</si>
  <si>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</si>
  <si>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</si>
  <si>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</si>
  <si>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</si>
  <si>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</si>
  <si>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</si>
  <si>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</si>
  <si>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</si>
  <si>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</si>
  <si>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</si>
  <si>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</si>
  <si>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</si>
  <si>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</si>
  <si>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</si>
  <si>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</si>
  <si>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</si>
  <si>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</si>
  <si>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</si>
  <si>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</si>
  <si>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</si>
  <si>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</si>
  <si>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</si>
  <si>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</si>
  <si>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</si>
  <si>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</si>
  <si>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</si>
  <si>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</si>
  <si>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</si>
  <si>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</si>
  <si>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</si>
  <si>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</si>
  <si>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</si>
  <si>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</si>
  <si>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</si>
  <si>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</si>
  <si>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</si>
  <si>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</si>
  <si>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</si>
  <si>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</si>
  <si>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</si>
  <si>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</si>
  <si>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</si>
  <si>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</si>
  <si>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</si>
  <si>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</si>
  <si>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</si>
  <si>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</si>
  <si>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</si>
  <si>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</si>
  <si>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</si>
  <si>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</si>
  <si>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</si>
  <si>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</si>
  <si>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</si>
  <si>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</si>
  <si>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</si>
  <si>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</si>
  <si>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</si>
  <si>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</si>
  <si>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</si>
  <si>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</si>
  <si>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</si>
  <si>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</si>
  <si>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</si>
  <si>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</si>
  <si>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</si>
  <si>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</si>
  <si>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</si>
  <si>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</si>
  <si>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</si>
  <si>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</si>
  <si>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</si>
  <si>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</si>
  <si>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</si>
  <si>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</si>
  <si>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</si>
  <si>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</si>
  <si>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</si>
  <si>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</si>
  <si>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</si>
  <si>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</si>
  <si>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</si>
  <si>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</si>
  <si>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</si>
  <si>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</si>
  <si>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</si>
  <si>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</si>
  <si>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</si>
  <si>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</si>
  <si>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</si>
  <si>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</si>
  <si>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</si>
  <si>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</si>
  <si>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</si>
  <si>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</si>
  <si>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</si>
  <si>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</si>
  <si>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</si>
  <si>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</si>
  <si>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</si>
  <si>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</si>
  <si>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</si>
  <si>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</si>
  <si>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</si>
  <si>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</si>
  <si>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</si>
  <si>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</si>
  <si>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</si>
  <si>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</si>
  <si>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</si>
  <si>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</si>
  <si>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</si>
  <si>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</si>
  <si>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</si>
  <si>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</si>
  <si>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</si>
  <si>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</si>
  <si>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</si>
  <si>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</si>
  <si>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</si>
  <si>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</si>
  <si>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</si>
  <si>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</si>
  <si>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</si>
  <si>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</si>
  <si>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</si>
  <si>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</si>
  <si>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</si>
  <si>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</si>
  <si>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</si>
  <si>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</si>
  <si>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</si>
  <si>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</si>
  <si>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</si>
  <si>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</si>
  <si>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</si>
  <si>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</si>
  <si>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</si>
  <si>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</si>
  <si>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</si>
  <si>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</si>
  <si>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</si>
  <si>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</si>
  <si>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</si>
  <si>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</si>
  <si>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</si>
  <si>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</si>
  <si>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</si>
  <si>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</si>
  <si>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</si>
  <si>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</si>
  <si>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</si>
  <si>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</si>
  <si>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</si>
  <si>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</si>
  <si>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</si>
  <si>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</si>
  <si>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</si>
  <si>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</si>
  <si>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</si>
  <si>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</si>
  <si>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</si>
  <si>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</si>
  <si>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</si>
  <si>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</si>
  <si>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</si>
  <si>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</si>
  <si>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</si>
  <si>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</si>
  <si>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</si>
  <si>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</si>
  <si>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</si>
  <si>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</si>
  <si>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</si>
  <si>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</si>
  <si>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</si>
  <si>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</si>
  <si>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</si>
  <si>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</si>
  <si>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</si>
  <si>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</si>
  <si>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</si>
  <si>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</si>
  <si>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</si>
  <si>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</si>
  <si>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</si>
  <si>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</si>
  <si>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</si>
  <si>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</si>
  <si>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</si>
  <si>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</si>
  <si>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</si>
  <si>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</si>
  <si>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</si>
  <si>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</si>
  <si>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</si>
  <si>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</si>
  <si>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</si>
  <si>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</si>
  <si>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</si>
  <si>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</si>
  <si>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</si>
  <si>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</si>
  <si>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</si>
  <si>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</si>
  <si>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</si>
  <si>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</si>
  <si>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</si>
  <si>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</si>
  <si>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</si>
  <si>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</si>
  <si>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</si>
  <si>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</si>
  <si>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</si>
  <si>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</si>
  <si>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</si>
  <si>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</si>
  <si>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</si>
  <si>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</si>
  <si>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</si>
  <si>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</si>
  <si>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</si>
  <si>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</si>
  <si>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</si>
  <si>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</si>
  <si>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</si>
  <si>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</si>
  <si>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</si>
  <si>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concentration</t>
  </si>
  <si>
    <t>formulation_type</t>
  </si>
  <si>
    <t>trade_name</t>
  </si>
  <si>
    <t>company</t>
  </si>
  <si>
    <t>เซนเที่ยม</t>
  </si>
  <si>
    <t>SHK</t>
  </si>
  <si>
    <t>EC</t>
  </si>
  <si>
    <t>13+5</t>
  </si>
  <si>
    <t>frontier-p</t>
  </si>
  <si>
    <t>bramus</t>
  </si>
  <si>
    <t>คิวเทอร์</t>
  </si>
  <si>
    <t>โดรนพลัส</t>
  </si>
  <si>
    <t>ออสเรียม</t>
  </si>
  <si>
    <t>imidacloprid+lambda-cyhalothrin</t>
  </si>
  <si>
    <t>SC</t>
  </si>
  <si>
    <t>4A+3A</t>
  </si>
  <si>
    <t>1B+15</t>
  </si>
  <si>
    <t>emamectin benzoate+lufenuron</t>
  </si>
  <si>
    <t>10%+40%</t>
  </si>
  <si>
    <t>WG</t>
  </si>
  <si>
    <t>6+15</t>
  </si>
  <si>
    <t>เทรนนิว</t>
  </si>
  <si>
    <t>C11</t>
  </si>
  <si>
    <t>ทานชิ</t>
  </si>
  <si>
    <t>B1</t>
  </si>
  <si>
    <t>ไตร-เบส บลู</t>
  </si>
  <si>
    <t xml:space="preserve">copper sulfate </t>
  </si>
  <si>
    <t>แบคทรอล</t>
  </si>
  <si>
    <t>gentamicin sulfate+oxytetracyclin hydrochloride</t>
  </si>
  <si>
    <t>2%+6%</t>
  </si>
  <si>
    <t>WP</t>
  </si>
  <si>
    <t>C1+CD5</t>
  </si>
  <si>
    <t>stage_id</t>
  </si>
  <si>
    <t>fs001</t>
  </si>
  <si>
    <t>fs002</t>
  </si>
  <si>
    <t>fs003</t>
  </si>
  <si>
    <t xml:space="preserve">2nd application </t>
  </si>
  <si>
    <t xml:space="preserve">3rd application </t>
  </si>
  <si>
    <t>crop</t>
  </si>
  <si>
    <t>rank</t>
  </si>
  <si>
    <t>her001</t>
  </si>
  <si>
    <t>her002</t>
  </si>
  <si>
    <t>her003</t>
  </si>
  <si>
    <t>product tier</t>
  </si>
  <si>
    <t>tier</t>
  </si>
  <si>
    <t>ins001</t>
  </si>
  <si>
    <t>ins002</t>
  </si>
  <si>
    <t>ins003</t>
  </si>
  <si>
    <t>fun001</t>
  </si>
  <si>
    <t>fun002</t>
  </si>
  <si>
    <t>fun003</t>
  </si>
  <si>
    <t>fun004</t>
  </si>
  <si>
    <t>her_id</t>
  </si>
  <si>
    <t>ins_id</t>
  </si>
  <si>
    <t>fun_id</t>
  </si>
  <si>
    <t>fer_id</t>
  </si>
  <si>
    <t>fer001</t>
  </si>
  <si>
    <t>fer002</t>
  </si>
  <si>
    <t>fer003</t>
  </si>
  <si>
    <t>fer004</t>
  </si>
  <si>
    <t>fer005</t>
  </si>
  <si>
    <t>fer006</t>
  </si>
  <si>
    <t>fer007</t>
  </si>
  <si>
    <t>fer008</t>
  </si>
  <si>
    <t>fer009</t>
  </si>
  <si>
    <t>fer010</t>
  </si>
  <si>
    <t>fer011</t>
  </si>
  <si>
    <t>fer012</t>
  </si>
  <si>
    <t>fer013</t>
  </si>
  <si>
    <t>fer014</t>
  </si>
  <si>
    <t>fer015</t>
  </si>
  <si>
    <t>Premium</t>
  </si>
  <si>
    <t>Medium</t>
  </si>
  <si>
    <t>Generic</t>
  </si>
  <si>
    <t>irac_code</t>
  </si>
  <si>
    <t>frac_code</t>
  </si>
  <si>
    <t>efficacy</t>
  </si>
  <si>
    <t>Moderate</t>
  </si>
  <si>
    <t>Excellent</t>
  </si>
  <si>
    <t>price</t>
  </si>
  <si>
    <t>usage</t>
  </si>
  <si>
    <t>size</t>
  </si>
  <si>
    <t>price_per_ton</t>
  </si>
  <si>
    <t>bag_size</t>
  </si>
  <si>
    <t>price_per_bag</t>
  </si>
  <si>
    <t>efficiency</t>
  </si>
  <si>
    <t>Effective</t>
  </si>
  <si>
    <t>Ineffective</t>
  </si>
  <si>
    <t xml:space="preserve">propineb+iprovalicarb </t>
  </si>
  <si>
    <t xml:space="preserve">invento </t>
  </si>
  <si>
    <t>M03+40</t>
  </si>
  <si>
    <t xml:space="preserve">mancozeb+valifenalate </t>
  </si>
  <si>
    <t>Estocade</t>
  </si>
  <si>
    <t xml:space="preserve">mancozeb+mandipropamid </t>
  </si>
  <si>
    <t>REVUS MZ</t>
  </si>
  <si>
    <t xml:space="preserve">propineb + fluopicolide </t>
  </si>
  <si>
    <t>Trivia</t>
  </si>
  <si>
    <t>M03+43</t>
  </si>
  <si>
    <t xml:space="preserve">mancozeb+cymoxanil </t>
  </si>
  <si>
    <t>Curzate</t>
  </si>
  <si>
    <t>M03+27</t>
  </si>
  <si>
    <t xml:space="preserve">mancozeb + metalaxyl-M </t>
  </si>
  <si>
    <t>RIDOMIL GOLD</t>
  </si>
  <si>
    <t>M03+4</t>
  </si>
  <si>
    <t xml:space="preserve">chlorothalonil+metalaxyl  </t>
  </si>
  <si>
    <t xml:space="preserve">FOLIO GOLD </t>
  </si>
  <si>
    <t>M05+4</t>
  </si>
  <si>
    <t>Equation</t>
  </si>
  <si>
    <t>27+11</t>
  </si>
  <si>
    <t xml:space="preserve">fosetyl-aluminium+fluopicolide </t>
  </si>
  <si>
    <t xml:space="preserve">Profiler </t>
  </si>
  <si>
    <t>P07+43</t>
  </si>
  <si>
    <t>Orvego</t>
  </si>
  <si>
    <t>40+45</t>
  </si>
  <si>
    <t>Banjo Forte</t>
  </si>
  <si>
    <t>40+29</t>
  </si>
  <si>
    <t xml:space="preserve">dimethomorph + pyraclostrobin </t>
  </si>
  <si>
    <t>Generic Products</t>
  </si>
  <si>
    <t>40+11</t>
  </si>
  <si>
    <t xml:space="preserve">dimethomorph + prochloraz </t>
  </si>
  <si>
    <t>เดมี่</t>
  </si>
  <si>
    <t>40+3</t>
  </si>
  <si>
    <t xml:space="preserve">propamocarb + metalaxyl </t>
  </si>
  <si>
    <t>28+4</t>
  </si>
  <si>
    <t>Fluopicolide + Propamocarb hydrochloride</t>
  </si>
  <si>
    <t>พิโคคาร์บ</t>
  </si>
  <si>
    <t>28+43</t>
  </si>
  <si>
    <t>BAYER</t>
  </si>
  <si>
    <t>SOTUS</t>
  </si>
  <si>
    <t>Syngenta</t>
  </si>
  <si>
    <t>CORTEVA</t>
  </si>
  <si>
    <t>CHIATAI</t>
  </si>
  <si>
    <t>BASF</t>
  </si>
  <si>
    <t>ADAMA</t>
  </si>
  <si>
    <t>GLOBAL</t>
  </si>
  <si>
    <t>THEPWATANA</t>
  </si>
  <si>
    <t>RAINBOW</t>
  </si>
  <si>
    <t>61.3%+5.5%</t>
  </si>
  <si>
    <t>40%+4% W/V</t>
  </si>
  <si>
    <t>60%+6%</t>
  </si>
  <si>
    <t>64%+8%</t>
  </si>
  <si>
    <t>66.7%+4.4%</t>
  </si>
  <si>
    <t>Formetanate hydrochioride</t>
  </si>
  <si>
    <t>Dicarzol</t>
  </si>
  <si>
    <t>1A</t>
  </si>
  <si>
    <t>Benfuracarb</t>
  </si>
  <si>
    <t>oncol</t>
  </si>
  <si>
    <t>Profenofos</t>
  </si>
  <si>
    <t>1B</t>
  </si>
  <si>
    <t>Pirimiphos-methyl</t>
  </si>
  <si>
    <t>Actellic 50EC</t>
  </si>
  <si>
    <t>Fipronil</t>
  </si>
  <si>
    <t>2B</t>
  </si>
  <si>
    <t>Fenpropathrin</t>
  </si>
  <si>
    <t>ดานิทอล</t>
  </si>
  <si>
    <t>3A</t>
  </si>
  <si>
    <t>Etofenprox</t>
  </si>
  <si>
    <t>ทรีบอน</t>
  </si>
  <si>
    <t>Thiamethoxam</t>
  </si>
  <si>
    <t>Amphan</t>
  </si>
  <si>
    <t>4A</t>
  </si>
  <si>
    <t>Alanto</t>
  </si>
  <si>
    <t>Clothianidin</t>
  </si>
  <si>
    <t>แดนท๊อซ</t>
  </si>
  <si>
    <t>Imidacloprid</t>
  </si>
  <si>
    <t>โปรวาโด</t>
  </si>
  <si>
    <t>อิมิดา</t>
  </si>
  <si>
    <t>Acetamiprid</t>
  </si>
  <si>
    <t>Molan</t>
  </si>
  <si>
    <t>Dinotrfuran</t>
  </si>
  <si>
    <t>ไดโนทีฟูแรน</t>
  </si>
  <si>
    <t>Spinosad</t>
  </si>
  <si>
    <t>สปินโนขแซด</t>
  </si>
  <si>
    <t>Spinetiram</t>
  </si>
  <si>
    <t>เอ็กซอล</t>
  </si>
  <si>
    <t>Abamectin</t>
  </si>
  <si>
    <t>แจคเก็ต</t>
  </si>
  <si>
    <t>Pymeteozine</t>
  </si>
  <si>
    <t>9B</t>
  </si>
  <si>
    <t>Diafenthiuron</t>
  </si>
  <si>
    <t>Remotus</t>
  </si>
  <si>
    <t>12A</t>
  </si>
  <si>
    <t>Fionicmamid</t>
  </si>
  <si>
    <t>Teppeki</t>
  </si>
  <si>
    <t>Isocycloseram</t>
  </si>
  <si>
    <t>Simodis</t>
  </si>
  <si>
    <t>Flometoquin</t>
  </si>
  <si>
    <t>Kagura</t>
  </si>
  <si>
    <t>TJC</t>
  </si>
  <si>
    <t>(Generic)</t>
  </si>
  <si>
    <t>Sotus</t>
  </si>
  <si>
    <t>เทพวัฒนา</t>
  </si>
  <si>
    <t>bayer</t>
  </si>
  <si>
    <t>Global Crop</t>
  </si>
  <si>
    <t>UPL</t>
  </si>
  <si>
    <t>sotus</t>
  </si>
  <si>
    <t>Modify Agrocrop</t>
  </si>
  <si>
    <t>SP</t>
  </si>
  <si>
    <t>20% W/V</t>
  </si>
  <si>
    <t>50% W/V</t>
  </si>
  <si>
    <t>25% W/V</t>
  </si>
  <si>
    <t>5% W/V</t>
  </si>
  <si>
    <t>10% W/V</t>
  </si>
  <si>
    <t>35% W/V</t>
  </si>
  <si>
    <t>FS</t>
  </si>
  <si>
    <t>24% W/V</t>
  </si>
  <si>
    <t>SG</t>
  </si>
  <si>
    <t>12% W/V</t>
  </si>
  <si>
    <t>1.8% W/V</t>
  </si>
  <si>
    <t>3.6% W/V</t>
  </si>
  <si>
    <t>EW</t>
  </si>
  <si>
    <t>DC</t>
  </si>
  <si>
    <t>10.6% W/V</t>
  </si>
  <si>
    <t>16%+12% W/V</t>
  </si>
  <si>
    <t>50%+5% W/V</t>
  </si>
  <si>
    <t>20%</t>
  </si>
  <si>
    <t>16%</t>
  </si>
  <si>
    <t>70%</t>
  </si>
  <si>
    <t>10%</t>
  </si>
  <si>
    <t>50%</t>
  </si>
  <si>
    <t>Formular-A connect</t>
  </si>
  <si>
    <t>แมคเซนด์ 25</t>
  </si>
  <si>
    <t>Hexythiazox</t>
  </si>
  <si>
    <t>Nissorun</t>
  </si>
  <si>
    <t>10A</t>
  </si>
  <si>
    <t>Nissozin</t>
  </si>
  <si>
    <t>Fenbutatin oxide</t>
  </si>
  <si>
    <t>Walk</t>
  </si>
  <si>
    <t>12B</t>
  </si>
  <si>
    <t>Formular-A</t>
  </si>
  <si>
    <t>Propargite</t>
  </si>
  <si>
    <t>12C</t>
  </si>
  <si>
    <t>Omite 30</t>
  </si>
  <si>
    <t>Omite 57EW</t>
  </si>
  <si>
    <t>Amitraz</t>
  </si>
  <si>
    <t>Bifenazate</t>
  </si>
  <si>
    <t>ACRAMITE</t>
  </si>
  <si>
    <t>20D</t>
  </si>
  <si>
    <t>zagro</t>
  </si>
  <si>
    <t>Fenazaquin</t>
  </si>
  <si>
    <t>Totem</t>
  </si>
  <si>
    <t>21A</t>
  </si>
  <si>
    <t>Fenpyroximate</t>
  </si>
  <si>
    <t>Ortus</t>
  </si>
  <si>
    <t>PATO</t>
  </si>
  <si>
    <t>Pyridaben</t>
  </si>
  <si>
    <t>Sanmite</t>
  </si>
  <si>
    <t>UPL(อริสต้า)</t>
  </si>
  <si>
    <t>ไพริดาเบน</t>
  </si>
  <si>
    <t>Tebufenpyrad</t>
  </si>
  <si>
    <t>Kyra</t>
  </si>
  <si>
    <t>Oberon</t>
  </si>
  <si>
    <t>Bayer</t>
  </si>
  <si>
    <t>Spirodiclofen</t>
  </si>
  <si>
    <t>Bangkokinter agriech</t>
  </si>
  <si>
    <t>Cyfiumetofen</t>
  </si>
  <si>
    <t>Danisaraba</t>
  </si>
  <si>
    <t>25A</t>
  </si>
  <si>
    <t>Cyenopyrafen</t>
  </si>
  <si>
    <t>Kunoichi</t>
  </si>
  <si>
    <t>syngenta</t>
  </si>
  <si>
    <t>Pyfiubumide</t>
  </si>
  <si>
    <t>Jatac</t>
  </si>
  <si>
    <t>25B</t>
  </si>
  <si>
    <t>Sulfur</t>
  </si>
  <si>
    <t>Microthiol</t>
  </si>
  <si>
    <t>M 02</t>
  </si>
  <si>
    <t>34.5% W/V</t>
  </si>
  <si>
    <t>66.7%+6%</t>
  </si>
  <si>
    <t>64%+4%</t>
  </si>
  <si>
    <t>60%+5%</t>
  </si>
  <si>
    <t>30%+22.5%</t>
  </si>
  <si>
    <t>22.5%+30% W/V</t>
  </si>
  <si>
    <t>20%+20% W/V</t>
  </si>
  <si>
    <t>12%+6.7%</t>
  </si>
  <si>
    <t>15%+15% W/V</t>
  </si>
  <si>
    <t>10%+15%</t>
  </si>
  <si>
    <t>6.2%+62.5% W/V</t>
  </si>
  <si>
    <t>55% W/V</t>
  </si>
  <si>
    <t>30%</t>
  </si>
  <si>
    <t>57% W/V</t>
  </si>
  <si>
    <t>48% W/V</t>
  </si>
  <si>
    <t>13.5% W/V</t>
  </si>
  <si>
    <t>36% W/V</t>
  </si>
  <si>
    <t>30% W/V</t>
  </si>
  <si>
    <t>21.4% W/V</t>
  </si>
  <si>
    <t>80%</t>
  </si>
  <si>
    <t>12%+27% W/V</t>
  </si>
  <si>
    <t>72% W/V</t>
  </si>
  <si>
    <t>snapshot_date</t>
  </si>
  <si>
    <t>product_id</t>
  </si>
  <si>
    <t>category</t>
  </si>
  <si>
    <t>Herbicide</t>
  </si>
  <si>
    <t>Insecticide</t>
  </si>
  <si>
    <t>Fungicide</t>
  </si>
  <si>
    <t>lookup_idx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</si>
</sst>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808080"/>
      <name val="Calibri"/>
      <family val="2"/>
      <scheme val="minor"/>
    </font>
    <font>
      <i/>
      <sz val="12"/>
      <color rgb="FF80808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1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5" fillId="0" borderId="0" xfId="0" applyFont="1"/>
    <xf numFmtId="0" fontId="6" fillId="0" borderId="0" xfId="0" applyFont="1"/>
    <xf numFmtId="14" fontId="0" fillId="0" borderId="0" xfId="0" applyNumberFormat="1"/>
  </cellXfs>
  <cellStyles count="2">
    <cellStyle name="Normal" xfId="0" builtinId="0"/>
    <cellStyle name="Normal 2" xfId="1" xr:uid="{B8A6BED4-4B8C-F34C-8E60-37D58CC4D80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F27160-3A2B-AF41-A94B-C43B708DEADB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dff3854a-6998-4263-a1ca-5a3c2b47c62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A2" sqref="A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39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174</v>
      </c>
      <c r="D2" t="s">
        <v>175</v>
      </c>
      <c r="E2">
        <v>0</v>
      </c>
      <c r="F2">
        <v>25</v>
      </c>
    </row>
    <row r="3" spans="1:6" x14ac:dyDescent="0.2">
      <c r="A3" t="s">
        <v>2</v>
      </c>
      <c r="B3" t="s">
        <v>38</v>
      </c>
      <c r="C3" t="s">
        <v>176</v>
      </c>
      <c r="D3" t="s">
        <v>177</v>
      </c>
      <c r="E3">
        <v>26</v>
      </c>
      <c r="F3">
        <v>60</v>
      </c>
    </row>
    <row r="4" spans="1:6" x14ac:dyDescent="0.2">
      <c r="A4" t="s">
        <v>2</v>
      </c>
      <c r="B4" t="s">
        <v>38</v>
      </c>
      <c r="C4" t="s">
        <v>264</v>
      </c>
      <c r="D4" t="s">
        <v>269</v>
      </c>
      <c r="E4">
        <v>61</v>
      </c>
      <c r="F4">
        <v>90</v>
      </c>
    </row>
    <row r="5" spans="1:6" x14ac:dyDescent="0.2">
      <c r="A5" t="s">
        <v>2</v>
      </c>
      <c r="B5" t="s">
        <v>38</v>
      </c>
      <c r="C5" t="s">
        <v>180</v>
      </c>
      <c r="D5" t="s">
        <v>265</v>
      </c>
      <c r="E5">
        <v>91</v>
      </c>
      <c r="F5">
        <v>120</v>
      </c>
    </row>
    <row r="11" spans="1:6" hidden="1" x14ac:dyDescent="0.2">
      <c r="A11" t="s">
        <v>194</v>
      </c>
      <c r="B11" t="s">
        <v>195</v>
      </c>
      <c r="C11" t="s">
        <v>174</v>
      </c>
      <c r="D11" t="s">
        <v>175</v>
      </c>
      <c r="E11">
        <v>0</v>
      </c>
      <c r="F11">
        <v>17</v>
      </c>
    </row>
    <row r="12" spans="1:6" hidden="1" x14ac:dyDescent="0.2">
      <c r="A12" t="s">
        <v>194</v>
      </c>
      <c r="B12" t="s">
        <v>195</v>
      </c>
      <c r="C12" t="s">
        <v>176</v>
      </c>
      <c r="D12" t="s">
        <v>177</v>
      </c>
      <c r="E12">
        <v>18</v>
      </c>
      <c r="F12">
        <v>38</v>
      </c>
    </row>
    <row r="13" spans="1:6" hidden="1" x14ac:dyDescent="0.2">
      <c r="A13" t="s">
        <v>194</v>
      </c>
      <c r="B13" t="s">
        <v>195</v>
      </c>
      <c r="C13" t="s">
        <v>178</v>
      </c>
      <c r="D13" t="s">
        <v>179</v>
      </c>
      <c r="E13">
        <v>39</v>
      </c>
      <c r="F13">
        <v>50</v>
      </c>
    </row>
    <row r="14" spans="1:6" hidden="1" x14ac:dyDescent="0.2">
      <c r="A14" t="s">
        <v>194</v>
      </c>
      <c r="B14" t="s">
        <v>195</v>
      </c>
      <c r="C14" t="s">
        <v>180</v>
      </c>
      <c r="D14" t="s">
        <v>181</v>
      </c>
      <c r="E14">
        <v>51</v>
      </c>
      <c r="F14">
        <v>63</v>
      </c>
    </row>
    <row r="15" spans="1:6" hidden="1" x14ac:dyDescent="0.2">
      <c r="A15" t="s">
        <v>194</v>
      </c>
      <c r="B15" t="s">
        <v>195</v>
      </c>
      <c r="C15" t="s">
        <v>182</v>
      </c>
      <c r="D15" t="s">
        <v>183</v>
      </c>
      <c r="E15">
        <v>64</v>
      </c>
      <c r="F15">
        <v>71</v>
      </c>
    </row>
    <row r="16" spans="1:6" hidden="1" x14ac:dyDescent="0.2">
      <c r="A16" t="s">
        <v>194</v>
      </c>
      <c r="B16" t="s">
        <v>195</v>
      </c>
      <c r="C16" t="s">
        <v>184</v>
      </c>
      <c r="D16" t="s">
        <v>185</v>
      </c>
      <c r="E16">
        <v>72</v>
      </c>
      <c r="F16">
        <v>75</v>
      </c>
    </row>
    <row r="17" spans="1:6" hidden="1" x14ac:dyDescent="0.2">
      <c r="A17" t="s">
        <v>194</v>
      </c>
      <c r="B17" t="s">
        <v>195</v>
      </c>
      <c r="C17" t="s">
        <v>186</v>
      </c>
      <c r="D17" t="s">
        <v>187</v>
      </c>
      <c r="E17">
        <v>76</v>
      </c>
      <c r="F17">
        <v>88</v>
      </c>
    </row>
    <row r="18" spans="1:6" hidden="1" x14ac:dyDescent="0.2">
      <c r="A18" t="s">
        <v>194</v>
      </c>
      <c r="B18" t="s">
        <v>195</v>
      </c>
      <c r="C18" t="s">
        <v>188</v>
      </c>
      <c r="D18" t="s">
        <v>189</v>
      </c>
      <c r="E18">
        <v>89</v>
      </c>
      <c r="F18">
        <v>96</v>
      </c>
    </row>
    <row r="19" spans="1:6" hidden="1" x14ac:dyDescent="0.2">
      <c r="A19" t="s">
        <v>194</v>
      </c>
      <c r="B19" t="s">
        <v>195</v>
      </c>
      <c r="C19" t="s">
        <v>190</v>
      </c>
      <c r="D19" t="s">
        <v>191</v>
      </c>
      <c r="E19">
        <v>97</v>
      </c>
      <c r="F19">
        <v>100</v>
      </c>
    </row>
    <row r="20" spans="1:6" hidden="1" x14ac:dyDescent="0.2">
      <c r="A20" t="s">
        <v>196</v>
      </c>
      <c r="B20" t="s">
        <v>197</v>
      </c>
      <c r="C20" t="s">
        <v>198</v>
      </c>
      <c r="D20" t="s">
        <v>199</v>
      </c>
      <c r="E20">
        <v>0</v>
      </c>
      <c r="F20">
        <v>30</v>
      </c>
    </row>
    <row r="21" spans="1:6" hidden="1" x14ac:dyDescent="0.2">
      <c r="A21" t="s">
        <v>196</v>
      </c>
      <c r="B21" t="s">
        <v>197</v>
      </c>
      <c r="C21" t="s">
        <v>200</v>
      </c>
      <c r="D21" t="s">
        <v>201</v>
      </c>
      <c r="E21">
        <v>31</v>
      </c>
      <c r="F21">
        <v>90</v>
      </c>
    </row>
    <row r="22" spans="1:6" hidden="1" x14ac:dyDescent="0.2">
      <c r="A22" t="s">
        <v>196</v>
      </c>
      <c r="B22" t="s">
        <v>197</v>
      </c>
      <c r="C22" t="s">
        <v>202</v>
      </c>
      <c r="D22" t="s">
        <v>203</v>
      </c>
      <c r="E22">
        <v>91</v>
      </c>
      <c r="F22">
        <v>365</v>
      </c>
    </row>
    <row r="23" spans="1:6" hidden="1" x14ac:dyDescent="0.2">
      <c r="A23" t="s">
        <v>196</v>
      </c>
      <c r="B23" t="s">
        <v>197</v>
      </c>
      <c r="C23" t="s">
        <v>204</v>
      </c>
      <c r="D23" t="s">
        <v>205</v>
      </c>
      <c r="E23">
        <v>366</v>
      </c>
      <c r="F23">
        <v>540</v>
      </c>
    </row>
    <row r="24" spans="1:6" hidden="1" x14ac:dyDescent="0.2">
      <c r="A24" t="s">
        <v>196</v>
      </c>
      <c r="B24" t="s">
        <v>197</v>
      </c>
      <c r="C24" t="s">
        <v>206</v>
      </c>
      <c r="D24" t="s">
        <v>207</v>
      </c>
      <c r="E24">
        <v>541</v>
      </c>
      <c r="F24">
        <v>730</v>
      </c>
    </row>
    <row r="25" spans="1:6" hidden="1" x14ac:dyDescent="0.2">
      <c r="A25" t="s">
        <v>196</v>
      </c>
      <c r="B25" t="s">
        <v>197</v>
      </c>
      <c r="C25" t="s">
        <v>208</v>
      </c>
      <c r="D25" t="s">
        <v>209</v>
      </c>
      <c r="E25">
        <v>731</v>
      </c>
      <c r="F25">
        <v>1095</v>
      </c>
    </row>
    <row r="26" spans="1:6" hidden="1" x14ac:dyDescent="0.2">
      <c r="A26" t="s">
        <v>196</v>
      </c>
      <c r="B26" t="s">
        <v>197</v>
      </c>
      <c r="C26" t="s">
        <v>210</v>
      </c>
      <c r="D26" t="s">
        <v>211</v>
      </c>
      <c r="E26">
        <v>1096</v>
      </c>
      <c r="F26">
        <v>1460</v>
      </c>
    </row>
    <row r="27" spans="1:6" hidden="1" x14ac:dyDescent="0.2">
      <c r="A27" t="s">
        <v>212</v>
      </c>
      <c r="B27" t="s">
        <v>213</v>
      </c>
      <c r="C27" t="s">
        <v>214</v>
      </c>
      <c r="D27" t="s">
        <v>215</v>
      </c>
      <c r="E27">
        <v>0</v>
      </c>
      <c r="F27">
        <v>30</v>
      </c>
    </row>
    <row r="28" spans="1:6" hidden="1" x14ac:dyDescent="0.2">
      <c r="A28" t="s">
        <v>212</v>
      </c>
      <c r="B28" t="s">
        <v>213</v>
      </c>
      <c r="C28" t="s">
        <v>216</v>
      </c>
      <c r="D28" t="s">
        <v>217</v>
      </c>
      <c r="E28">
        <v>31</v>
      </c>
      <c r="F28">
        <v>75</v>
      </c>
    </row>
    <row r="29" spans="1:6" hidden="1" x14ac:dyDescent="0.2">
      <c r="A29" t="s">
        <v>212</v>
      </c>
      <c r="B29" t="s">
        <v>213</v>
      </c>
      <c r="C29" t="s">
        <v>218</v>
      </c>
      <c r="D29" t="s">
        <v>219</v>
      </c>
      <c r="E29">
        <v>76</v>
      </c>
      <c r="F29">
        <v>120</v>
      </c>
    </row>
    <row r="30" spans="1:6" hidden="1" x14ac:dyDescent="0.2">
      <c r="A30" t="s">
        <v>212</v>
      </c>
      <c r="B30" t="s">
        <v>213</v>
      </c>
      <c r="C30" t="s">
        <v>220</v>
      </c>
      <c r="D30" t="s">
        <v>221</v>
      </c>
      <c r="E30">
        <v>121</v>
      </c>
      <c r="F30">
        <v>165</v>
      </c>
    </row>
    <row r="31" spans="1:6" hidden="1" x14ac:dyDescent="0.2">
      <c r="A31" t="s">
        <v>212</v>
      </c>
      <c r="B31" t="s">
        <v>213</v>
      </c>
      <c r="C31" t="s">
        <v>222</v>
      </c>
      <c r="D31" t="s">
        <v>223</v>
      </c>
      <c r="E31">
        <v>166</v>
      </c>
      <c r="F31">
        <v>210</v>
      </c>
    </row>
    <row r="32" spans="1:6" hidden="1" x14ac:dyDescent="0.2">
      <c r="A32" t="s">
        <v>212</v>
      </c>
      <c r="B32" t="s">
        <v>213</v>
      </c>
      <c r="C32" t="s">
        <v>224</v>
      </c>
      <c r="D32" t="s">
        <v>225</v>
      </c>
      <c r="E32">
        <v>211</v>
      </c>
      <c r="F32">
        <v>240</v>
      </c>
    </row>
    <row r="33" spans="1:6" hidden="1" x14ac:dyDescent="0.2">
      <c r="A33" t="s">
        <v>212</v>
      </c>
      <c r="B33" t="s">
        <v>213</v>
      </c>
      <c r="C33" t="s">
        <v>226</v>
      </c>
      <c r="D33" t="s">
        <v>185</v>
      </c>
      <c r="E33">
        <v>241</v>
      </c>
      <c r="F33">
        <v>265</v>
      </c>
    </row>
    <row r="34" spans="1:6" hidden="1" x14ac:dyDescent="0.2">
      <c r="A34" t="s">
        <v>212</v>
      </c>
      <c r="B34" t="s">
        <v>213</v>
      </c>
      <c r="C34" t="s">
        <v>227</v>
      </c>
      <c r="D34" t="s">
        <v>228</v>
      </c>
      <c r="E34">
        <v>266</v>
      </c>
      <c r="F34">
        <v>300</v>
      </c>
    </row>
    <row r="35" spans="1:6" hidden="1" x14ac:dyDescent="0.2">
      <c r="A35" t="s">
        <v>212</v>
      </c>
      <c r="B35" t="s">
        <v>213</v>
      </c>
      <c r="C35" t="s">
        <v>229</v>
      </c>
      <c r="D35" t="s">
        <v>230</v>
      </c>
      <c r="E35">
        <v>301</v>
      </c>
      <c r="F35">
        <v>350</v>
      </c>
    </row>
    <row r="36" spans="1:6" hidden="1" x14ac:dyDescent="0.2">
      <c r="A36" t="s">
        <v>212</v>
      </c>
      <c r="B36" t="s">
        <v>213</v>
      </c>
      <c r="C36" t="s">
        <v>231</v>
      </c>
      <c r="D36" t="s">
        <v>232</v>
      </c>
      <c r="E36">
        <v>351</v>
      </c>
      <c r="F36">
        <v>390</v>
      </c>
    </row>
    <row r="37" spans="1:6" hidden="1" x14ac:dyDescent="0.2">
      <c r="A37" t="s">
        <v>212</v>
      </c>
      <c r="B37" t="s">
        <v>213</v>
      </c>
      <c r="C37" t="s">
        <v>233</v>
      </c>
      <c r="D37" t="s">
        <v>234</v>
      </c>
      <c r="E37">
        <v>391</v>
      </c>
      <c r="F37">
        <v>420</v>
      </c>
    </row>
    <row r="38" spans="1:6" hidden="1" x14ac:dyDescent="0.2">
      <c r="A38" t="s">
        <v>212</v>
      </c>
      <c r="B38" t="s">
        <v>213</v>
      </c>
      <c r="C38" t="s">
        <v>235</v>
      </c>
      <c r="D38" t="s">
        <v>236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J34"/>
  <sheetViews>
    <sheetView zoomScale="110" zoomScaleNormal="110" workbookViewId="0">
      <selection activeCell="I12" sqref="I12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274</v>
      </c>
      <c r="C1" t="s">
        <v>270</v>
      </c>
      <c r="D1" t="s">
        <v>9</v>
      </c>
      <c r="E1" t="s">
        <v>10</v>
      </c>
      <c r="F1" t="s">
        <v>11</v>
      </c>
      <c r="G1" t="s">
        <v>53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271</v>
      </c>
      <c r="C2" t="s">
        <v>266</v>
      </c>
      <c r="D2" t="s">
        <v>12</v>
      </c>
      <c r="E2" t="s">
        <v>70</v>
      </c>
      <c r="F2" t="s">
        <v>52</v>
      </c>
      <c r="G2" t="s">
        <v>58</v>
      </c>
      <c r="H2" t="s">
        <v>55</v>
      </c>
      <c r="I2">
        <v>0</v>
      </c>
      <c r="J2">
        <v>2</v>
      </c>
    </row>
    <row r="3" spans="1:10" x14ac:dyDescent="0.2">
      <c r="A3" t="s">
        <v>2</v>
      </c>
      <c r="B3" t="s">
        <v>271</v>
      </c>
      <c r="C3" t="s">
        <v>266</v>
      </c>
      <c r="D3" t="s">
        <v>13</v>
      </c>
      <c r="E3" t="s">
        <v>56</v>
      </c>
      <c r="F3" t="s">
        <v>54</v>
      </c>
      <c r="G3" t="s">
        <v>57</v>
      </c>
      <c r="H3" t="s">
        <v>55</v>
      </c>
      <c r="I3">
        <v>0</v>
      </c>
      <c r="J3">
        <v>2</v>
      </c>
    </row>
    <row r="4" spans="1:10" x14ac:dyDescent="0.2">
      <c r="A4" t="s">
        <v>2</v>
      </c>
      <c r="B4" t="s">
        <v>271</v>
      </c>
      <c r="C4" t="s">
        <v>266</v>
      </c>
      <c r="D4" t="s">
        <v>14</v>
      </c>
      <c r="E4" t="s">
        <v>61</v>
      </c>
      <c r="F4" t="s">
        <v>59</v>
      </c>
      <c r="G4" t="s">
        <v>60</v>
      </c>
      <c r="H4" t="s">
        <v>55</v>
      </c>
      <c r="I4">
        <v>0</v>
      </c>
      <c r="J4">
        <v>2</v>
      </c>
    </row>
    <row r="5" spans="1:10" x14ac:dyDescent="0.2">
      <c r="A5" t="s">
        <v>2</v>
      </c>
      <c r="B5" t="s">
        <v>271</v>
      </c>
      <c r="C5" t="s">
        <v>266</v>
      </c>
      <c r="D5" t="s">
        <v>15</v>
      </c>
      <c r="E5" t="s">
        <v>62</v>
      </c>
      <c r="F5" t="s">
        <v>63</v>
      </c>
      <c r="G5" t="s">
        <v>64</v>
      </c>
      <c r="H5" t="s">
        <v>55</v>
      </c>
      <c r="I5">
        <v>0</v>
      </c>
      <c r="J5">
        <v>2</v>
      </c>
    </row>
    <row r="6" spans="1:10" x14ac:dyDescent="0.2">
      <c r="A6" t="s">
        <v>2</v>
      </c>
      <c r="B6" t="s">
        <v>271</v>
      </c>
      <c r="C6" t="s">
        <v>266</v>
      </c>
      <c r="D6" t="s">
        <v>16</v>
      </c>
      <c r="E6" t="s">
        <v>69</v>
      </c>
      <c r="F6" t="s">
        <v>65</v>
      </c>
      <c r="G6" t="s">
        <v>67</v>
      </c>
      <c r="H6" t="s">
        <v>66</v>
      </c>
      <c r="I6">
        <v>0</v>
      </c>
      <c r="J6">
        <v>2</v>
      </c>
    </row>
    <row r="7" spans="1:10" x14ac:dyDescent="0.2">
      <c r="A7" t="s">
        <v>2</v>
      </c>
      <c r="B7" t="s">
        <v>271</v>
      </c>
      <c r="C7" t="s">
        <v>266</v>
      </c>
      <c r="D7" t="s">
        <v>68</v>
      </c>
      <c r="E7" t="s">
        <v>81</v>
      </c>
      <c r="F7" t="s">
        <v>72</v>
      </c>
      <c r="G7" t="s">
        <v>71</v>
      </c>
      <c r="H7" t="s">
        <v>66</v>
      </c>
      <c r="I7">
        <v>0</v>
      </c>
      <c r="J7">
        <v>2</v>
      </c>
    </row>
    <row r="8" spans="1:10" x14ac:dyDescent="0.2">
      <c r="A8" t="s">
        <v>2</v>
      </c>
      <c r="B8" t="s">
        <v>271</v>
      </c>
      <c r="C8" t="s">
        <v>266</v>
      </c>
      <c r="D8" t="s">
        <v>73</v>
      </c>
      <c r="E8" t="s">
        <v>74</v>
      </c>
      <c r="F8" t="s">
        <v>77</v>
      </c>
      <c r="G8" t="s">
        <v>76</v>
      </c>
      <c r="H8" t="s">
        <v>66</v>
      </c>
      <c r="I8">
        <v>0</v>
      </c>
      <c r="J8">
        <v>2</v>
      </c>
    </row>
    <row r="9" spans="1:10" x14ac:dyDescent="0.2">
      <c r="A9" t="s">
        <v>2</v>
      </c>
      <c r="B9" t="s">
        <v>271</v>
      </c>
      <c r="C9" t="s">
        <v>266</v>
      </c>
      <c r="D9" t="s">
        <v>75</v>
      </c>
      <c r="E9" t="s">
        <v>82</v>
      </c>
      <c r="F9" t="s">
        <v>17</v>
      </c>
      <c r="G9" t="s">
        <v>86</v>
      </c>
      <c r="H9" t="s">
        <v>66</v>
      </c>
      <c r="I9">
        <v>0</v>
      </c>
      <c r="J9">
        <v>2</v>
      </c>
    </row>
    <row r="10" spans="1:10" x14ac:dyDescent="0.2">
      <c r="A10" t="s">
        <v>2</v>
      </c>
      <c r="B10" t="s">
        <v>271</v>
      </c>
      <c r="C10" t="s">
        <v>266</v>
      </c>
      <c r="D10" t="s">
        <v>80</v>
      </c>
      <c r="E10" t="s">
        <v>78</v>
      </c>
      <c r="F10" t="s">
        <v>85</v>
      </c>
      <c r="G10" t="s">
        <v>79</v>
      </c>
      <c r="H10" t="s">
        <v>87</v>
      </c>
      <c r="I10">
        <v>0</v>
      </c>
      <c r="J10">
        <v>2</v>
      </c>
    </row>
    <row r="11" spans="1:10" x14ac:dyDescent="0.2">
      <c r="A11" t="s">
        <v>2</v>
      </c>
      <c r="B11" t="s">
        <v>271</v>
      </c>
      <c r="C11" t="s">
        <v>266</v>
      </c>
      <c r="D11" t="s">
        <v>83</v>
      </c>
      <c r="E11" t="s">
        <v>89</v>
      </c>
      <c r="F11" t="s">
        <v>88</v>
      </c>
      <c r="G11" t="s">
        <v>90</v>
      </c>
      <c r="H11" t="s">
        <v>87</v>
      </c>
      <c r="I11">
        <v>0</v>
      </c>
      <c r="J11">
        <v>2</v>
      </c>
    </row>
    <row r="12" spans="1:10" x14ac:dyDescent="0.2">
      <c r="A12" t="s">
        <v>2</v>
      </c>
      <c r="B12" t="s">
        <v>271</v>
      </c>
      <c r="C12" t="s">
        <v>266</v>
      </c>
      <c r="D12" t="s">
        <v>84</v>
      </c>
      <c r="E12" t="s">
        <v>92</v>
      </c>
      <c r="F12" t="s">
        <v>91</v>
      </c>
      <c r="G12" t="s">
        <v>283</v>
      </c>
      <c r="H12" t="s">
        <v>55</v>
      </c>
      <c r="I12">
        <v>0</v>
      </c>
      <c r="J12">
        <v>2</v>
      </c>
    </row>
    <row r="13" spans="1:10" ht="27" customHeight="1" x14ac:dyDescent="0.2">
      <c r="A13" t="s">
        <v>2</v>
      </c>
      <c r="B13" t="s">
        <v>272</v>
      </c>
      <c r="C13" t="s">
        <v>267</v>
      </c>
      <c r="D13" t="s">
        <v>12</v>
      </c>
      <c r="E13" t="s">
        <v>70</v>
      </c>
      <c r="F13" t="s">
        <v>52</v>
      </c>
      <c r="G13" t="s">
        <v>58</v>
      </c>
      <c r="H13" t="s">
        <v>55</v>
      </c>
      <c r="I13">
        <v>7</v>
      </c>
      <c r="J13">
        <v>10</v>
      </c>
    </row>
    <row r="14" spans="1:10" x14ac:dyDescent="0.2">
      <c r="A14" t="s">
        <v>2</v>
      </c>
      <c r="B14" t="s">
        <v>272</v>
      </c>
      <c r="C14" t="s">
        <v>266</v>
      </c>
      <c r="D14" t="s">
        <v>13</v>
      </c>
      <c r="E14" t="s">
        <v>56</v>
      </c>
      <c r="F14" t="s">
        <v>54</v>
      </c>
      <c r="G14" t="s">
        <v>57</v>
      </c>
      <c r="H14" t="s">
        <v>55</v>
      </c>
      <c r="I14">
        <v>7</v>
      </c>
      <c r="J14">
        <v>10</v>
      </c>
    </row>
    <row r="15" spans="1:10" x14ac:dyDescent="0.2">
      <c r="A15" t="s">
        <v>2</v>
      </c>
      <c r="B15" t="s">
        <v>272</v>
      </c>
      <c r="C15" t="s">
        <v>267</v>
      </c>
      <c r="D15" t="s">
        <v>14</v>
      </c>
      <c r="E15" t="s">
        <v>61</v>
      </c>
      <c r="F15" t="s">
        <v>59</v>
      </c>
      <c r="G15" t="s">
        <v>60</v>
      </c>
      <c r="H15" t="s">
        <v>55</v>
      </c>
      <c r="I15">
        <v>7</v>
      </c>
      <c r="J15">
        <v>10</v>
      </c>
    </row>
    <row r="16" spans="1:10" x14ac:dyDescent="0.2">
      <c r="A16" t="s">
        <v>2</v>
      </c>
      <c r="B16" t="s">
        <v>272</v>
      </c>
      <c r="C16" t="s">
        <v>267</v>
      </c>
      <c r="D16" t="s">
        <v>15</v>
      </c>
      <c r="E16" t="s">
        <v>62</v>
      </c>
      <c r="F16" t="s">
        <v>63</v>
      </c>
      <c r="G16" t="s">
        <v>64</v>
      </c>
      <c r="H16" t="s">
        <v>55</v>
      </c>
      <c r="I16">
        <v>7</v>
      </c>
      <c r="J16">
        <v>10</v>
      </c>
    </row>
    <row r="17" spans="1:10" x14ac:dyDescent="0.2">
      <c r="A17" t="s">
        <v>2</v>
      </c>
      <c r="B17" t="s">
        <v>272</v>
      </c>
      <c r="C17" t="s">
        <v>267</v>
      </c>
      <c r="D17" t="s">
        <v>16</v>
      </c>
      <c r="E17" t="s">
        <v>69</v>
      </c>
      <c r="F17" t="s">
        <v>65</v>
      </c>
      <c r="G17" t="s">
        <v>67</v>
      </c>
      <c r="H17" t="s">
        <v>66</v>
      </c>
      <c r="I17">
        <v>7</v>
      </c>
      <c r="J17">
        <v>10</v>
      </c>
    </row>
    <row r="18" spans="1:10" x14ac:dyDescent="0.2">
      <c r="A18" t="s">
        <v>2</v>
      </c>
      <c r="B18" t="s">
        <v>272</v>
      </c>
      <c r="C18" t="s">
        <v>267</v>
      </c>
      <c r="D18" t="s">
        <v>68</v>
      </c>
      <c r="E18" t="s">
        <v>81</v>
      </c>
      <c r="F18" t="s">
        <v>72</v>
      </c>
      <c r="G18" t="s">
        <v>71</v>
      </c>
      <c r="H18" t="s">
        <v>66</v>
      </c>
      <c r="I18">
        <v>7</v>
      </c>
      <c r="J18">
        <v>10</v>
      </c>
    </row>
    <row r="19" spans="1:10" x14ac:dyDescent="0.2">
      <c r="A19" t="s">
        <v>2</v>
      </c>
      <c r="B19" t="s">
        <v>272</v>
      </c>
      <c r="C19" t="s">
        <v>267</v>
      </c>
      <c r="D19" t="s">
        <v>73</v>
      </c>
      <c r="E19" t="s">
        <v>74</v>
      </c>
      <c r="F19" t="s">
        <v>77</v>
      </c>
      <c r="G19" t="s">
        <v>76</v>
      </c>
      <c r="H19" t="s">
        <v>66</v>
      </c>
      <c r="I19">
        <v>7</v>
      </c>
      <c r="J19">
        <v>10</v>
      </c>
    </row>
    <row r="20" spans="1:10" x14ac:dyDescent="0.2">
      <c r="A20" t="s">
        <v>2</v>
      </c>
      <c r="B20" t="s">
        <v>272</v>
      </c>
      <c r="C20" t="s">
        <v>267</v>
      </c>
      <c r="D20" t="s">
        <v>75</v>
      </c>
      <c r="E20" t="s">
        <v>82</v>
      </c>
      <c r="F20" t="s">
        <v>17</v>
      </c>
      <c r="G20" t="s">
        <v>86</v>
      </c>
      <c r="H20" t="s">
        <v>66</v>
      </c>
      <c r="I20">
        <v>7</v>
      </c>
      <c r="J20">
        <v>10</v>
      </c>
    </row>
    <row r="21" spans="1:10" x14ac:dyDescent="0.2">
      <c r="A21" t="s">
        <v>2</v>
      </c>
      <c r="B21" t="s">
        <v>272</v>
      </c>
      <c r="C21" t="s">
        <v>267</v>
      </c>
      <c r="D21" t="s">
        <v>80</v>
      </c>
      <c r="E21" t="s">
        <v>78</v>
      </c>
      <c r="F21" t="s">
        <v>85</v>
      </c>
      <c r="G21" t="s">
        <v>79</v>
      </c>
      <c r="H21" t="s">
        <v>87</v>
      </c>
      <c r="I21">
        <v>7</v>
      </c>
      <c r="J21">
        <v>10</v>
      </c>
    </row>
    <row r="22" spans="1:10" x14ac:dyDescent="0.2">
      <c r="A22" t="s">
        <v>2</v>
      </c>
      <c r="B22" t="s">
        <v>272</v>
      </c>
      <c r="C22" t="s">
        <v>267</v>
      </c>
      <c r="D22" t="s">
        <v>83</v>
      </c>
      <c r="E22" t="s">
        <v>89</v>
      </c>
      <c r="F22" t="s">
        <v>88</v>
      </c>
      <c r="G22" t="s">
        <v>90</v>
      </c>
      <c r="H22" t="s">
        <v>87</v>
      </c>
      <c r="I22">
        <v>7</v>
      </c>
      <c r="J22">
        <v>10</v>
      </c>
    </row>
    <row r="23" spans="1:10" x14ac:dyDescent="0.2">
      <c r="A23" t="s">
        <v>2</v>
      </c>
      <c r="B23" t="s">
        <v>272</v>
      </c>
      <c r="C23" t="s">
        <v>267</v>
      </c>
      <c r="D23" t="s">
        <v>84</v>
      </c>
      <c r="E23" t="s">
        <v>92</v>
      </c>
      <c r="F23" t="s">
        <v>91</v>
      </c>
      <c r="G23" t="s">
        <v>283</v>
      </c>
      <c r="H23" t="s">
        <v>55</v>
      </c>
      <c r="I23">
        <v>7</v>
      </c>
      <c r="J23">
        <v>10</v>
      </c>
    </row>
    <row r="24" spans="1:10" x14ac:dyDescent="0.2">
      <c r="A24" t="s">
        <v>2</v>
      </c>
      <c r="B24" t="s">
        <v>273</v>
      </c>
      <c r="C24" t="s">
        <v>268</v>
      </c>
      <c r="D24" t="s">
        <v>12</v>
      </c>
      <c r="E24" t="s">
        <v>70</v>
      </c>
      <c r="F24" t="s">
        <v>52</v>
      </c>
      <c r="G24" t="s">
        <v>58</v>
      </c>
      <c r="H24" t="s">
        <v>55</v>
      </c>
      <c r="I24">
        <v>25</v>
      </c>
      <c r="J24">
        <v>30</v>
      </c>
    </row>
    <row r="25" spans="1:10" x14ac:dyDescent="0.2">
      <c r="A25" s="6" t="s">
        <v>2</v>
      </c>
      <c r="B25" s="6" t="s">
        <v>273</v>
      </c>
      <c r="C25" s="6" t="s">
        <v>266</v>
      </c>
      <c r="D25" s="6" t="s">
        <v>13</v>
      </c>
      <c r="E25" s="6" t="s">
        <v>56</v>
      </c>
      <c r="F25" s="6" t="s">
        <v>54</v>
      </c>
      <c r="G25" s="6" t="s">
        <v>57</v>
      </c>
      <c r="H25" s="6" t="s">
        <v>55</v>
      </c>
      <c r="I25" s="6">
        <v>25</v>
      </c>
      <c r="J25" s="6">
        <v>30</v>
      </c>
    </row>
    <row r="26" spans="1:10" x14ac:dyDescent="0.2">
      <c r="A26" t="s">
        <v>2</v>
      </c>
      <c r="B26" t="s">
        <v>273</v>
      </c>
      <c r="C26" t="s">
        <v>268</v>
      </c>
      <c r="D26" t="s">
        <v>14</v>
      </c>
      <c r="E26" t="s">
        <v>61</v>
      </c>
      <c r="F26" t="s">
        <v>59</v>
      </c>
      <c r="G26" t="s">
        <v>60</v>
      </c>
      <c r="H26" t="s">
        <v>55</v>
      </c>
      <c r="I26">
        <v>25</v>
      </c>
      <c r="J26">
        <v>30</v>
      </c>
    </row>
    <row r="27" spans="1:10" x14ac:dyDescent="0.2">
      <c r="A27" t="s">
        <v>2</v>
      </c>
      <c r="B27" t="s">
        <v>273</v>
      </c>
      <c r="C27" t="s">
        <v>268</v>
      </c>
      <c r="D27" t="s">
        <v>15</v>
      </c>
      <c r="E27" t="s">
        <v>62</v>
      </c>
      <c r="F27" t="s">
        <v>63</v>
      </c>
      <c r="G27" t="s">
        <v>64</v>
      </c>
      <c r="H27" t="s">
        <v>55</v>
      </c>
      <c r="I27">
        <v>25</v>
      </c>
      <c r="J27">
        <v>30</v>
      </c>
    </row>
    <row r="28" spans="1:10" x14ac:dyDescent="0.2">
      <c r="A28" t="s">
        <v>2</v>
      </c>
      <c r="B28" t="s">
        <v>273</v>
      </c>
      <c r="C28" t="s">
        <v>268</v>
      </c>
      <c r="D28" t="s">
        <v>16</v>
      </c>
      <c r="E28" t="s">
        <v>69</v>
      </c>
      <c r="F28" t="s">
        <v>65</v>
      </c>
      <c r="G28" t="s">
        <v>67</v>
      </c>
      <c r="H28" t="s">
        <v>66</v>
      </c>
      <c r="I28">
        <v>25</v>
      </c>
      <c r="J28">
        <v>30</v>
      </c>
    </row>
    <row r="29" spans="1:10" x14ac:dyDescent="0.2">
      <c r="A29" t="s">
        <v>2</v>
      </c>
      <c r="B29" t="s">
        <v>273</v>
      </c>
      <c r="C29" t="s">
        <v>268</v>
      </c>
      <c r="D29" t="s">
        <v>68</v>
      </c>
      <c r="E29" t="s">
        <v>81</v>
      </c>
      <c r="F29" t="s">
        <v>72</v>
      </c>
      <c r="G29" t="s">
        <v>71</v>
      </c>
      <c r="H29" t="s">
        <v>66</v>
      </c>
      <c r="I29">
        <v>25</v>
      </c>
      <c r="J29">
        <v>30</v>
      </c>
    </row>
    <row r="30" spans="1:10" x14ac:dyDescent="0.2">
      <c r="A30" t="s">
        <v>2</v>
      </c>
      <c r="B30" t="s">
        <v>273</v>
      </c>
      <c r="C30" t="s">
        <v>268</v>
      </c>
      <c r="D30" t="s">
        <v>73</v>
      </c>
      <c r="E30" t="s">
        <v>74</v>
      </c>
      <c r="F30" t="s">
        <v>77</v>
      </c>
      <c r="G30" t="s">
        <v>76</v>
      </c>
      <c r="H30" t="s">
        <v>66</v>
      </c>
      <c r="I30">
        <v>25</v>
      </c>
      <c r="J30">
        <v>30</v>
      </c>
    </row>
    <row r="31" spans="1:10" x14ac:dyDescent="0.2">
      <c r="A31" t="s">
        <v>2</v>
      </c>
      <c r="B31" t="s">
        <v>273</v>
      </c>
      <c r="C31" t="s">
        <v>268</v>
      </c>
      <c r="D31" t="s">
        <v>75</v>
      </c>
      <c r="E31" t="s">
        <v>82</v>
      </c>
      <c r="F31" t="s">
        <v>17</v>
      </c>
      <c r="G31" t="s">
        <v>86</v>
      </c>
      <c r="H31" t="s">
        <v>66</v>
      </c>
      <c r="I31">
        <v>25</v>
      </c>
      <c r="J31">
        <v>30</v>
      </c>
    </row>
    <row r="32" spans="1:10" x14ac:dyDescent="0.2">
      <c r="A32" t="s">
        <v>2</v>
      </c>
      <c r="B32" t="s">
        <v>273</v>
      </c>
      <c r="C32" t="s">
        <v>268</v>
      </c>
      <c r="D32" t="s">
        <v>80</v>
      </c>
      <c r="E32" t="s">
        <v>78</v>
      </c>
      <c r="F32" t="s">
        <v>85</v>
      </c>
      <c r="G32" t="s">
        <v>79</v>
      </c>
      <c r="H32" t="s">
        <v>87</v>
      </c>
      <c r="I32">
        <v>25</v>
      </c>
      <c r="J32">
        <v>30</v>
      </c>
    </row>
    <row r="33" spans="1:10" x14ac:dyDescent="0.2">
      <c r="A33" t="s">
        <v>2</v>
      </c>
      <c r="B33" t="s">
        <v>273</v>
      </c>
      <c r="C33" t="s">
        <v>268</v>
      </c>
      <c r="D33" t="s">
        <v>83</v>
      </c>
      <c r="E33" t="s">
        <v>89</v>
      </c>
      <c r="F33" t="s">
        <v>88</v>
      </c>
      <c r="G33" t="s">
        <v>90</v>
      </c>
      <c r="H33" t="s">
        <v>87</v>
      </c>
      <c r="I33">
        <v>25</v>
      </c>
      <c r="J33">
        <v>30</v>
      </c>
    </row>
    <row r="34" spans="1:10" x14ac:dyDescent="0.2">
      <c r="A34" t="s">
        <v>2</v>
      </c>
      <c r="B34" t="s">
        <v>273</v>
      </c>
      <c r="C34" t="s">
        <v>268</v>
      </c>
      <c r="D34" t="s">
        <v>84</v>
      </c>
      <c r="E34" t="s">
        <v>92</v>
      </c>
      <c r="F34" t="s">
        <v>91</v>
      </c>
      <c r="G34" t="s">
        <v>283</v>
      </c>
      <c r="H34" t="s">
        <v>55</v>
      </c>
      <c r="I34">
        <v>25</v>
      </c>
      <c r="J34">
        <v>30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H52"/>
  <sheetViews>
    <sheetView zoomScale="139" zoomScaleNormal="140" workbookViewId="0">
      <selection activeCell="D11" sqref="D11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8" max="8" width="19.6640625" customWidth="1"/>
  </cols>
  <sheetData>
    <row r="1" spans="1:8" x14ac:dyDescent="0.2">
      <c r="A1" t="s">
        <v>0</v>
      </c>
      <c r="B1" t="s">
        <v>6</v>
      </c>
      <c r="C1" t="s">
        <v>7</v>
      </c>
      <c r="D1" t="s">
        <v>8</v>
      </c>
      <c r="E1" t="s">
        <v>93</v>
      </c>
      <c r="F1" t="s">
        <v>4</v>
      </c>
      <c r="G1" t="s">
        <v>5</v>
      </c>
      <c r="H1" t="s">
        <v>798</v>
      </c>
    </row>
    <row r="2" spans="1:8" x14ac:dyDescent="0.2">
      <c r="A2" t="s">
        <v>2</v>
      </c>
      <c r="B2" t="s">
        <v>29</v>
      </c>
      <c r="C2" t="s">
        <v>40</v>
      </c>
      <c r="D2" t="s">
        <v>41</v>
      </c>
      <c r="E2" t="s">
        <v>94</v>
      </c>
      <c r="F2">
        <v>0</v>
      </c>
      <c r="G2">
        <v>15</v>
      </c>
      <c r="H2">
        <v>1</v>
      </c>
    </row>
    <row r="3" spans="1:8" x14ac:dyDescent="0.2">
      <c r="A3" t="s">
        <v>2</v>
      </c>
      <c r="B3" t="s">
        <v>30</v>
      </c>
      <c r="C3" t="s">
        <v>96</v>
      </c>
      <c r="D3" t="s">
        <v>97</v>
      </c>
      <c r="E3" t="s">
        <v>95</v>
      </c>
      <c r="F3">
        <v>4</v>
      </c>
      <c r="G3">
        <v>20</v>
      </c>
      <c r="H3">
        <v>2</v>
      </c>
    </row>
    <row r="4" spans="1:8" x14ac:dyDescent="0.2">
      <c r="A4" t="s">
        <v>2</v>
      </c>
      <c r="B4" t="s">
        <v>31</v>
      </c>
      <c r="C4" t="s">
        <v>100</v>
      </c>
      <c r="D4" t="s">
        <v>101</v>
      </c>
      <c r="E4" t="s">
        <v>99</v>
      </c>
      <c r="F4">
        <v>0</v>
      </c>
      <c r="G4">
        <v>20</v>
      </c>
      <c r="H4">
        <v>5</v>
      </c>
    </row>
    <row r="5" spans="1:8" x14ac:dyDescent="0.2">
      <c r="A5" t="s">
        <v>2</v>
      </c>
      <c r="B5" t="s">
        <v>32</v>
      </c>
      <c r="C5" t="s">
        <v>105</v>
      </c>
      <c r="D5" t="s">
        <v>106</v>
      </c>
      <c r="E5" t="s">
        <v>104</v>
      </c>
      <c r="F5">
        <v>5</v>
      </c>
      <c r="G5">
        <v>45</v>
      </c>
      <c r="H5">
        <v>10</v>
      </c>
    </row>
    <row r="6" spans="1:8" x14ac:dyDescent="0.2">
      <c r="A6" t="s">
        <v>2</v>
      </c>
      <c r="B6" t="s">
        <v>33</v>
      </c>
      <c r="C6" t="s">
        <v>107</v>
      </c>
      <c r="D6" t="s">
        <v>108</v>
      </c>
      <c r="E6" t="s">
        <v>98</v>
      </c>
      <c r="F6">
        <v>10</v>
      </c>
      <c r="G6">
        <v>60</v>
      </c>
      <c r="H6">
        <v>12</v>
      </c>
    </row>
    <row r="7" spans="1:8" x14ac:dyDescent="0.2">
      <c r="A7" t="s">
        <v>2</v>
      </c>
      <c r="B7" t="s">
        <v>47</v>
      </c>
      <c r="C7" t="s">
        <v>109</v>
      </c>
      <c r="D7" t="s">
        <v>46</v>
      </c>
      <c r="E7" t="s">
        <v>99</v>
      </c>
      <c r="F7">
        <v>21</v>
      </c>
      <c r="G7">
        <v>120</v>
      </c>
      <c r="H7">
        <v>3</v>
      </c>
    </row>
    <row r="8" spans="1:8" x14ac:dyDescent="0.2">
      <c r="A8" t="s">
        <v>2</v>
      </c>
      <c r="B8" t="s">
        <v>115</v>
      </c>
      <c r="C8" t="s">
        <v>44</v>
      </c>
      <c r="D8" t="s">
        <v>45</v>
      </c>
      <c r="E8" t="s">
        <v>99</v>
      </c>
      <c r="F8">
        <v>21</v>
      </c>
      <c r="G8">
        <v>120</v>
      </c>
      <c r="H8">
        <v>4</v>
      </c>
    </row>
    <row r="9" spans="1:8" x14ac:dyDescent="0.2">
      <c r="A9" t="s">
        <v>2</v>
      </c>
      <c r="B9" t="s">
        <v>116</v>
      </c>
      <c r="C9" t="s">
        <v>42</v>
      </c>
      <c r="D9" t="s">
        <v>43</v>
      </c>
      <c r="E9" t="s">
        <v>102</v>
      </c>
      <c r="F9">
        <v>10</v>
      </c>
      <c r="G9">
        <v>120</v>
      </c>
      <c r="H9">
        <v>6</v>
      </c>
    </row>
    <row r="10" spans="1:8" x14ac:dyDescent="0.2">
      <c r="A10" t="s">
        <v>2</v>
      </c>
      <c r="B10" t="s">
        <v>117</v>
      </c>
      <c r="C10" t="s">
        <v>103</v>
      </c>
      <c r="D10" t="s">
        <v>110</v>
      </c>
      <c r="E10" t="s">
        <v>102</v>
      </c>
      <c r="F10">
        <v>76</v>
      </c>
      <c r="G10">
        <v>120</v>
      </c>
      <c r="H10">
        <v>8</v>
      </c>
    </row>
    <row r="11" spans="1:8" x14ac:dyDescent="0.2">
      <c r="A11" t="s">
        <v>2</v>
      </c>
      <c r="B11" t="s">
        <v>118</v>
      </c>
      <c r="C11" t="s">
        <v>111</v>
      </c>
      <c r="D11" t="s">
        <v>112</v>
      </c>
      <c r="E11" t="s">
        <v>102</v>
      </c>
      <c r="F11">
        <v>20</v>
      </c>
      <c r="G11">
        <v>120</v>
      </c>
      <c r="H11">
        <v>9</v>
      </c>
    </row>
    <row r="12" spans="1:8" x14ac:dyDescent="0.2">
      <c r="A12" t="s">
        <v>2</v>
      </c>
      <c r="B12" t="s">
        <v>119</v>
      </c>
      <c r="C12" t="s">
        <v>113</v>
      </c>
      <c r="D12" t="s">
        <v>114</v>
      </c>
      <c r="E12" t="s">
        <v>99</v>
      </c>
      <c r="F12">
        <v>80</v>
      </c>
      <c r="G12">
        <v>120</v>
      </c>
      <c r="H12">
        <v>7</v>
      </c>
    </row>
    <row r="13" spans="1:8" x14ac:dyDescent="0.2">
      <c r="A13" t="s">
        <v>2</v>
      </c>
      <c r="B13" t="s">
        <v>120</v>
      </c>
      <c r="C13" t="s">
        <v>173</v>
      </c>
      <c r="D13" t="s">
        <v>172</v>
      </c>
      <c r="E13" t="s">
        <v>102</v>
      </c>
      <c r="F13">
        <v>21</v>
      </c>
      <c r="G13">
        <v>120</v>
      </c>
      <c r="H13">
        <v>11</v>
      </c>
    </row>
    <row r="14" spans="1:8" hidden="1" x14ac:dyDescent="0.2">
      <c r="A14" t="s">
        <v>194</v>
      </c>
      <c r="B14" t="s">
        <v>29</v>
      </c>
      <c r="C14" t="s">
        <v>40</v>
      </c>
      <c r="D14" t="s">
        <v>41</v>
      </c>
      <c r="E14" t="s">
        <v>94</v>
      </c>
      <c r="F14">
        <v>0</v>
      </c>
      <c r="G14">
        <v>17</v>
      </c>
    </row>
    <row r="15" spans="1:8" hidden="1" x14ac:dyDescent="0.2">
      <c r="A15" t="s">
        <v>194</v>
      </c>
      <c r="B15" t="s">
        <v>30</v>
      </c>
      <c r="C15" t="s">
        <v>96</v>
      </c>
      <c r="D15" t="s">
        <v>97</v>
      </c>
      <c r="E15" t="s">
        <v>95</v>
      </c>
      <c r="F15">
        <v>0</v>
      </c>
      <c r="G15">
        <v>25</v>
      </c>
    </row>
    <row r="16" spans="1:8" hidden="1" x14ac:dyDescent="0.2">
      <c r="A16" t="s">
        <v>194</v>
      </c>
      <c r="B16" t="s">
        <v>31</v>
      </c>
      <c r="C16" t="s">
        <v>100</v>
      </c>
      <c r="D16" t="s">
        <v>101</v>
      </c>
      <c r="E16" t="s">
        <v>99</v>
      </c>
      <c r="F16">
        <v>0</v>
      </c>
      <c r="G16">
        <v>25</v>
      </c>
    </row>
    <row r="17" spans="1:7" hidden="1" x14ac:dyDescent="0.2">
      <c r="A17" t="s">
        <v>194</v>
      </c>
      <c r="B17" t="s">
        <v>32</v>
      </c>
      <c r="C17" t="s">
        <v>105</v>
      </c>
      <c r="D17" t="s">
        <v>106</v>
      </c>
      <c r="E17" t="s">
        <v>104</v>
      </c>
      <c r="F17">
        <v>10</v>
      </c>
      <c r="G17">
        <v>50</v>
      </c>
    </row>
    <row r="18" spans="1:7" hidden="1" x14ac:dyDescent="0.2">
      <c r="A18" t="s">
        <v>194</v>
      </c>
      <c r="B18" t="s">
        <v>33</v>
      </c>
      <c r="C18" t="s">
        <v>107</v>
      </c>
      <c r="D18" t="s">
        <v>108</v>
      </c>
      <c r="E18" t="s">
        <v>98</v>
      </c>
      <c r="F18">
        <v>10</v>
      </c>
      <c r="G18">
        <v>50</v>
      </c>
    </row>
    <row r="19" spans="1:7" hidden="1" x14ac:dyDescent="0.2">
      <c r="A19" t="s">
        <v>194</v>
      </c>
      <c r="B19" t="s">
        <v>47</v>
      </c>
      <c r="C19" t="s">
        <v>109</v>
      </c>
      <c r="D19" t="s">
        <v>46</v>
      </c>
      <c r="E19" t="s">
        <v>99</v>
      </c>
      <c r="F19">
        <v>10</v>
      </c>
      <c r="G19">
        <v>120</v>
      </c>
    </row>
    <row r="20" spans="1:7" hidden="1" x14ac:dyDescent="0.2">
      <c r="A20" t="s">
        <v>194</v>
      </c>
      <c r="B20" t="s">
        <v>115</v>
      </c>
      <c r="C20" t="s">
        <v>44</v>
      </c>
      <c r="D20" t="s">
        <v>45</v>
      </c>
      <c r="E20" t="s">
        <v>99</v>
      </c>
      <c r="F20">
        <v>20</v>
      </c>
      <c r="G20">
        <v>120</v>
      </c>
    </row>
    <row r="21" spans="1:7" hidden="1" x14ac:dyDescent="0.2">
      <c r="A21" t="s">
        <v>194</v>
      </c>
      <c r="B21" t="s">
        <v>116</v>
      </c>
      <c r="C21" t="s">
        <v>42</v>
      </c>
      <c r="D21" t="s">
        <v>43</v>
      </c>
      <c r="E21" t="s">
        <v>102</v>
      </c>
      <c r="F21">
        <v>10</v>
      </c>
      <c r="G21">
        <v>120</v>
      </c>
    </row>
    <row r="22" spans="1:7" hidden="1" x14ac:dyDescent="0.2">
      <c r="A22" t="s">
        <v>194</v>
      </c>
      <c r="B22" t="s">
        <v>117</v>
      </c>
      <c r="C22" t="s">
        <v>103</v>
      </c>
      <c r="D22" t="s">
        <v>110</v>
      </c>
      <c r="E22" t="s">
        <v>102</v>
      </c>
      <c r="F22">
        <v>20</v>
      </c>
      <c r="G22">
        <v>120</v>
      </c>
    </row>
    <row r="23" spans="1:7" hidden="1" x14ac:dyDescent="0.2">
      <c r="A23" t="s">
        <v>194</v>
      </c>
      <c r="B23" t="s">
        <v>118</v>
      </c>
      <c r="C23" t="s">
        <v>111</v>
      </c>
      <c r="D23" t="s">
        <v>112</v>
      </c>
      <c r="E23" t="s">
        <v>102</v>
      </c>
      <c r="F23">
        <v>20</v>
      </c>
      <c r="G23">
        <v>120</v>
      </c>
    </row>
    <row r="24" spans="1:7" hidden="1" x14ac:dyDescent="0.2">
      <c r="A24" t="s">
        <v>194</v>
      </c>
      <c r="B24" t="s">
        <v>119</v>
      </c>
      <c r="C24" t="s">
        <v>113</v>
      </c>
      <c r="D24" t="s">
        <v>114</v>
      </c>
      <c r="E24" t="s">
        <v>99</v>
      </c>
      <c r="F24">
        <v>80</v>
      </c>
      <c r="G24">
        <v>120</v>
      </c>
    </row>
    <row r="25" spans="1:7" hidden="1" x14ac:dyDescent="0.2">
      <c r="A25" t="s">
        <v>194</v>
      </c>
      <c r="B25" t="s">
        <v>120</v>
      </c>
      <c r="C25" t="s">
        <v>173</v>
      </c>
      <c r="D25" t="s">
        <v>172</v>
      </c>
      <c r="E25" t="s">
        <v>102</v>
      </c>
      <c r="F25">
        <v>0</v>
      </c>
      <c r="G25">
        <v>50</v>
      </c>
    </row>
    <row r="26" spans="1:7" ht="17" hidden="1" x14ac:dyDescent="0.2">
      <c r="A26" t="s">
        <v>196</v>
      </c>
      <c r="B26" t="s">
        <v>29</v>
      </c>
      <c r="C26" s="4" t="s">
        <v>247</v>
      </c>
      <c r="D26" s="4" t="s">
        <v>237</v>
      </c>
      <c r="E26" s="4" t="s">
        <v>99</v>
      </c>
      <c r="F26" s="5">
        <v>0</v>
      </c>
      <c r="G26" s="5">
        <v>1460</v>
      </c>
    </row>
    <row r="27" spans="1:7" ht="17" hidden="1" x14ac:dyDescent="0.2">
      <c r="A27" t="s">
        <v>196</v>
      </c>
      <c r="B27" t="s">
        <v>30</v>
      </c>
      <c r="C27" s="4" t="s">
        <v>248</v>
      </c>
      <c r="D27" s="4" t="s">
        <v>238</v>
      </c>
      <c r="E27" s="4" t="s">
        <v>102</v>
      </c>
      <c r="F27" s="5">
        <v>30</v>
      </c>
      <c r="G27" s="5">
        <v>1200</v>
      </c>
    </row>
    <row r="28" spans="1:7" ht="17" hidden="1" x14ac:dyDescent="0.2">
      <c r="A28" t="s">
        <v>196</v>
      </c>
      <c r="B28" t="s">
        <v>31</v>
      </c>
      <c r="C28" s="4" t="s">
        <v>258</v>
      </c>
      <c r="D28" s="4" t="s">
        <v>239</v>
      </c>
      <c r="E28" s="4" t="s">
        <v>99</v>
      </c>
      <c r="F28" s="5">
        <v>0</v>
      </c>
      <c r="G28" s="5">
        <v>1460</v>
      </c>
    </row>
    <row r="29" spans="1:7" ht="17" hidden="1" x14ac:dyDescent="0.2">
      <c r="A29" t="s">
        <v>196</v>
      </c>
      <c r="B29" t="s">
        <v>32</v>
      </c>
      <c r="C29" s="4" t="s">
        <v>259</v>
      </c>
      <c r="D29" s="4" t="s">
        <v>240</v>
      </c>
      <c r="E29" s="4" t="s">
        <v>102</v>
      </c>
      <c r="F29" s="5">
        <v>0</v>
      </c>
      <c r="G29" s="5">
        <v>1460</v>
      </c>
    </row>
    <row r="30" spans="1:7" ht="17" hidden="1" x14ac:dyDescent="0.2">
      <c r="A30" t="s">
        <v>196</v>
      </c>
      <c r="B30" t="s">
        <v>33</v>
      </c>
      <c r="C30" s="4" t="s">
        <v>254</v>
      </c>
      <c r="D30" s="4" t="s">
        <v>255</v>
      </c>
      <c r="E30" s="4" t="s">
        <v>94</v>
      </c>
      <c r="F30" s="5">
        <v>30</v>
      </c>
      <c r="G30" s="5">
        <v>1460</v>
      </c>
    </row>
    <row r="31" spans="1:7" ht="17" hidden="1" x14ac:dyDescent="0.2">
      <c r="A31" t="s">
        <v>196</v>
      </c>
      <c r="B31" t="s">
        <v>47</v>
      </c>
      <c r="C31" s="4" t="s">
        <v>260</v>
      </c>
      <c r="D31" s="4" t="s">
        <v>241</v>
      </c>
      <c r="E31" s="4" t="s">
        <v>98</v>
      </c>
      <c r="F31" s="5">
        <v>0</v>
      </c>
      <c r="G31" s="5">
        <v>1460</v>
      </c>
    </row>
    <row r="32" spans="1:7" ht="17" hidden="1" x14ac:dyDescent="0.2">
      <c r="A32" t="s">
        <v>196</v>
      </c>
      <c r="B32" t="s">
        <v>115</v>
      </c>
      <c r="C32" s="4" t="s">
        <v>249</v>
      </c>
      <c r="D32" s="4" t="s">
        <v>242</v>
      </c>
      <c r="E32" s="4" t="s">
        <v>98</v>
      </c>
      <c r="F32" s="5">
        <v>0</v>
      </c>
      <c r="G32" s="5">
        <v>1460</v>
      </c>
    </row>
    <row r="33" spans="1:7" ht="17" hidden="1" x14ac:dyDescent="0.2">
      <c r="A33" t="s">
        <v>196</v>
      </c>
      <c r="B33" t="s">
        <v>116</v>
      </c>
      <c r="C33" s="4" t="s">
        <v>250</v>
      </c>
      <c r="D33" s="4" t="s">
        <v>243</v>
      </c>
      <c r="E33" s="4" t="s">
        <v>102</v>
      </c>
      <c r="F33" s="5">
        <v>0</v>
      </c>
      <c r="G33" s="5">
        <v>1460</v>
      </c>
    </row>
    <row r="34" spans="1:7" ht="17" hidden="1" x14ac:dyDescent="0.2">
      <c r="A34" t="s">
        <v>196</v>
      </c>
      <c r="B34" t="s">
        <v>117</v>
      </c>
      <c r="C34" s="4" t="s">
        <v>251</v>
      </c>
      <c r="D34" s="4" t="s">
        <v>244</v>
      </c>
      <c r="E34" s="4" t="s">
        <v>102</v>
      </c>
      <c r="F34" s="5">
        <v>30</v>
      </c>
      <c r="G34" s="5">
        <v>1200</v>
      </c>
    </row>
    <row r="35" spans="1:7" ht="17" hidden="1" x14ac:dyDescent="0.2">
      <c r="A35" t="s">
        <v>196</v>
      </c>
      <c r="B35" t="s">
        <v>118</v>
      </c>
      <c r="C35" s="4" t="s">
        <v>252</v>
      </c>
      <c r="D35" s="4" t="s">
        <v>245</v>
      </c>
      <c r="E35" s="4" t="s">
        <v>98</v>
      </c>
      <c r="F35" s="5">
        <v>30</v>
      </c>
      <c r="G35" s="5">
        <v>1460</v>
      </c>
    </row>
    <row r="36" spans="1:7" ht="17" hidden="1" x14ac:dyDescent="0.2">
      <c r="A36" t="s">
        <v>196</v>
      </c>
      <c r="B36" t="s">
        <v>119</v>
      </c>
      <c r="C36" s="4" t="s">
        <v>253</v>
      </c>
      <c r="D36" s="4" t="s">
        <v>246</v>
      </c>
      <c r="E36" s="4" t="s">
        <v>99</v>
      </c>
      <c r="F36" s="5">
        <v>30</v>
      </c>
      <c r="G36" s="5">
        <v>1460</v>
      </c>
    </row>
    <row r="37" spans="1:7" ht="17" hidden="1" x14ac:dyDescent="0.2">
      <c r="A37" t="s">
        <v>196</v>
      </c>
      <c r="B37" t="s">
        <v>120</v>
      </c>
      <c r="C37" s="4" t="s">
        <v>257</v>
      </c>
      <c r="D37" s="4" t="s">
        <v>256</v>
      </c>
      <c r="E37" s="4" t="s">
        <v>261</v>
      </c>
      <c r="F37" s="5">
        <v>30</v>
      </c>
      <c r="G37" s="5">
        <v>1460</v>
      </c>
    </row>
    <row r="38" spans="1:7" ht="17" hidden="1" x14ac:dyDescent="0.2">
      <c r="A38" t="s">
        <v>212</v>
      </c>
      <c r="B38" t="s">
        <v>29</v>
      </c>
      <c r="C38" s="4" t="s">
        <v>247</v>
      </c>
      <c r="D38" s="4" t="s">
        <v>237</v>
      </c>
      <c r="E38" s="4" t="s">
        <v>99</v>
      </c>
      <c r="F38" s="4">
        <v>210</v>
      </c>
      <c r="G38" s="4">
        <v>365</v>
      </c>
    </row>
    <row r="39" spans="1:7" ht="17" hidden="1" x14ac:dyDescent="0.2">
      <c r="A39" t="s">
        <v>212</v>
      </c>
      <c r="B39" t="s">
        <v>30</v>
      </c>
      <c r="C39" s="4" t="s">
        <v>248</v>
      </c>
      <c r="D39" s="4" t="s">
        <v>238</v>
      </c>
      <c r="E39" s="4" t="s">
        <v>102</v>
      </c>
      <c r="F39" s="4">
        <v>30</v>
      </c>
      <c r="G39" s="4">
        <v>120</v>
      </c>
    </row>
    <row r="40" spans="1:7" ht="17" hidden="1" x14ac:dyDescent="0.2">
      <c r="A40" t="s">
        <v>212</v>
      </c>
      <c r="B40" t="s">
        <v>30</v>
      </c>
      <c r="C40" s="4" t="s">
        <v>248</v>
      </c>
      <c r="D40" s="4" t="s">
        <v>238</v>
      </c>
      <c r="E40" s="4" t="s">
        <v>102</v>
      </c>
      <c r="F40" s="4">
        <v>150</v>
      </c>
      <c r="G40" s="4">
        <v>210</v>
      </c>
    </row>
    <row r="41" spans="1:7" ht="17" hidden="1" x14ac:dyDescent="0.2">
      <c r="A41" t="s">
        <v>212</v>
      </c>
      <c r="B41" t="s">
        <v>31</v>
      </c>
      <c r="C41" s="4" t="s">
        <v>258</v>
      </c>
      <c r="D41" s="4" t="s">
        <v>239</v>
      </c>
      <c r="E41" s="4" t="s">
        <v>99</v>
      </c>
      <c r="F41" s="4">
        <v>210</v>
      </c>
      <c r="G41" s="4">
        <v>330</v>
      </c>
    </row>
    <row r="42" spans="1:7" ht="17" hidden="1" x14ac:dyDescent="0.2">
      <c r="A42" t="s">
        <v>212</v>
      </c>
      <c r="B42" t="s">
        <v>32</v>
      </c>
      <c r="C42" s="4" t="s">
        <v>259</v>
      </c>
      <c r="D42" s="4" t="s">
        <v>240</v>
      </c>
      <c r="E42" s="4" t="s">
        <v>102</v>
      </c>
      <c r="F42" s="4">
        <v>0</v>
      </c>
      <c r="G42" s="4">
        <v>365</v>
      </c>
    </row>
    <row r="43" spans="1:7" ht="17" hidden="1" x14ac:dyDescent="0.2">
      <c r="A43" t="s">
        <v>212</v>
      </c>
      <c r="B43" t="s">
        <v>33</v>
      </c>
      <c r="C43" s="4" t="s">
        <v>254</v>
      </c>
      <c r="D43" s="4" t="s">
        <v>255</v>
      </c>
      <c r="E43" s="4" t="s">
        <v>94</v>
      </c>
      <c r="F43" s="4">
        <v>30</v>
      </c>
      <c r="G43" s="4">
        <v>120</v>
      </c>
    </row>
    <row r="44" spans="1:7" ht="17" hidden="1" x14ac:dyDescent="0.2">
      <c r="A44" t="s">
        <v>212</v>
      </c>
      <c r="B44" t="s">
        <v>33</v>
      </c>
      <c r="C44" s="4" t="s">
        <v>254</v>
      </c>
      <c r="D44" s="4" t="s">
        <v>255</v>
      </c>
      <c r="E44" s="4" t="s">
        <v>94</v>
      </c>
      <c r="F44" s="4">
        <v>180</v>
      </c>
      <c r="G44" s="4">
        <v>270</v>
      </c>
    </row>
    <row r="45" spans="1:7" ht="17" hidden="1" x14ac:dyDescent="0.2">
      <c r="A45" t="s">
        <v>212</v>
      </c>
      <c r="B45" t="s">
        <v>47</v>
      </c>
      <c r="C45" s="4" t="s">
        <v>260</v>
      </c>
      <c r="D45" s="4" t="s">
        <v>241</v>
      </c>
      <c r="E45" s="4" t="s">
        <v>98</v>
      </c>
      <c r="F45" s="4">
        <v>0</v>
      </c>
      <c r="G45" s="4">
        <v>365</v>
      </c>
    </row>
    <row r="46" spans="1:7" ht="17" hidden="1" x14ac:dyDescent="0.2">
      <c r="A46" t="s">
        <v>212</v>
      </c>
      <c r="B46" t="s">
        <v>115</v>
      </c>
      <c r="C46" s="4" t="s">
        <v>249</v>
      </c>
      <c r="D46" s="4" t="s">
        <v>242</v>
      </c>
      <c r="E46" s="4" t="s">
        <v>98</v>
      </c>
      <c r="F46" s="4">
        <v>0</v>
      </c>
      <c r="G46" s="4">
        <v>365</v>
      </c>
    </row>
    <row r="47" spans="1:7" ht="17" hidden="1" x14ac:dyDescent="0.2">
      <c r="A47" t="s">
        <v>212</v>
      </c>
      <c r="B47" t="s">
        <v>116</v>
      </c>
      <c r="C47" s="4" t="s">
        <v>250</v>
      </c>
      <c r="D47" s="4" t="s">
        <v>243</v>
      </c>
      <c r="E47" s="4" t="s">
        <v>102</v>
      </c>
      <c r="F47" s="4">
        <v>0</v>
      </c>
      <c r="G47" s="4">
        <v>365</v>
      </c>
    </row>
    <row r="48" spans="1:7" ht="17" hidden="1" x14ac:dyDescent="0.2">
      <c r="A48" t="s">
        <v>212</v>
      </c>
      <c r="B48" t="s">
        <v>117</v>
      </c>
      <c r="C48" s="4" t="s">
        <v>251</v>
      </c>
      <c r="D48" s="4" t="s">
        <v>244</v>
      </c>
      <c r="E48" s="4" t="s">
        <v>102</v>
      </c>
      <c r="F48" s="4">
        <v>30</v>
      </c>
      <c r="G48" s="4">
        <v>180</v>
      </c>
    </row>
    <row r="49" spans="1:7" ht="17" hidden="1" x14ac:dyDescent="0.2">
      <c r="A49" t="s">
        <v>212</v>
      </c>
      <c r="B49" t="s">
        <v>118</v>
      </c>
      <c r="C49" s="4" t="s">
        <v>252</v>
      </c>
      <c r="D49" s="4" t="s">
        <v>245</v>
      </c>
      <c r="E49" s="4" t="s">
        <v>98</v>
      </c>
      <c r="F49" s="4">
        <v>30</v>
      </c>
      <c r="G49" s="4">
        <v>180</v>
      </c>
    </row>
    <row r="50" spans="1:7" ht="17" hidden="1" x14ac:dyDescent="0.2">
      <c r="A50" t="s">
        <v>212</v>
      </c>
      <c r="B50" t="s">
        <v>119</v>
      </c>
      <c r="C50" s="4" t="s">
        <v>253</v>
      </c>
      <c r="D50" s="4" t="s">
        <v>246</v>
      </c>
      <c r="E50" s="4" t="s">
        <v>99</v>
      </c>
      <c r="F50" s="4">
        <v>30</v>
      </c>
      <c r="G50" s="4">
        <v>180</v>
      </c>
    </row>
    <row r="51" spans="1:7" ht="17" hidden="1" x14ac:dyDescent="0.2">
      <c r="A51" t="s">
        <v>212</v>
      </c>
      <c r="B51" t="s">
        <v>119</v>
      </c>
      <c r="C51" s="4" t="s">
        <v>253</v>
      </c>
      <c r="D51" s="4" t="s">
        <v>246</v>
      </c>
      <c r="E51" s="4" t="s">
        <v>99</v>
      </c>
      <c r="F51" s="4">
        <v>200</v>
      </c>
      <c r="G51" s="4">
        <v>280</v>
      </c>
    </row>
    <row r="52" spans="1:7" ht="17" hidden="1" x14ac:dyDescent="0.2">
      <c r="A52" t="s">
        <v>212</v>
      </c>
      <c r="B52" t="s">
        <v>120</v>
      </c>
      <c r="C52" s="4" t="s">
        <v>257</v>
      </c>
      <c r="D52" s="4" t="s">
        <v>256</v>
      </c>
      <c r="E52" s="4" t="s">
        <v>261</v>
      </c>
      <c r="F52" s="4">
        <v>30</v>
      </c>
      <c r="G52" s="4">
        <v>180</v>
      </c>
    </row>
  </sheetData>
  <autoFilter ref="A1:G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C1" zoomScale="130" zoomScaleNormal="130" workbookViewId="0">
      <selection activeCell="D9" sqref="D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21.1640625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148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121</v>
      </c>
      <c r="D2" t="s">
        <v>48</v>
      </c>
      <c r="E2" t="s">
        <v>139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122</v>
      </c>
      <c r="D3" t="s">
        <v>133</v>
      </c>
      <c r="E3" t="s">
        <v>140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123</v>
      </c>
      <c r="D4" t="s">
        <v>134</v>
      </c>
      <c r="E4" t="s">
        <v>141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124</v>
      </c>
      <c r="D5" t="s">
        <v>135</v>
      </c>
      <c r="E5" t="s">
        <v>142</v>
      </c>
      <c r="F5" t="s">
        <v>149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125</v>
      </c>
      <c r="D6" t="s">
        <v>49</v>
      </c>
      <c r="E6" t="s">
        <v>143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51</v>
      </c>
      <c r="C7" t="s">
        <v>126</v>
      </c>
      <c r="D7" t="s">
        <v>136</v>
      </c>
      <c r="E7" t="s">
        <v>144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130</v>
      </c>
      <c r="C8" t="s">
        <v>127</v>
      </c>
      <c r="D8" t="s">
        <v>137</v>
      </c>
      <c r="E8" t="s">
        <v>145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131</v>
      </c>
      <c r="C9" t="s">
        <v>128</v>
      </c>
      <c r="D9" t="s">
        <v>50</v>
      </c>
      <c r="E9" t="s">
        <v>146</v>
      </c>
      <c r="F9" t="s">
        <v>150</v>
      </c>
      <c r="G9">
        <v>60</v>
      </c>
      <c r="H9">
        <v>120</v>
      </c>
    </row>
    <row r="10" spans="1:8" x14ac:dyDescent="0.2">
      <c r="A10" t="s">
        <v>2</v>
      </c>
      <c r="B10" t="s">
        <v>132</v>
      </c>
      <c r="C10" t="s">
        <v>129</v>
      </c>
      <c r="D10" t="s">
        <v>138</v>
      </c>
      <c r="E10" t="s">
        <v>147</v>
      </c>
      <c r="F10" t="s">
        <v>150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779A2-5065-E347-BD69-EC430369AFA7}">
  <dimension ref="A1:F7"/>
  <sheetViews>
    <sheetView workbookViewId="0">
      <selection activeCell="F15" sqref="F15"/>
    </sheetView>
  </sheetViews>
  <sheetFormatPr baseColWidth="10" defaultRowHeight="16" x14ac:dyDescent="0.2"/>
  <cols>
    <col min="4" max="4" width="14.1640625" customWidth="1"/>
  </cols>
  <sheetData>
    <row r="1" spans="1:6" x14ac:dyDescent="0.2">
      <c r="A1" t="s">
        <v>0</v>
      </c>
      <c r="B1" t="s">
        <v>797</v>
      </c>
      <c r="C1" t="s">
        <v>791</v>
      </c>
      <c r="D1" s="1" t="s">
        <v>3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792</v>
      </c>
      <c r="D2" s="1" t="s">
        <v>284</v>
      </c>
      <c r="E2">
        <v>20</v>
      </c>
      <c r="F2">
        <v>30</v>
      </c>
    </row>
    <row r="3" spans="1:6" x14ac:dyDescent="0.2">
      <c r="A3" t="s">
        <v>2</v>
      </c>
      <c r="B3" t="s">
        <v>38</v>
      </c>
      <c r="C3" t="s">
        <v>793</v>
      </c>
      <c r="D3" s="1" t="s">
        <v>795</v>
      </c>
      <c r="E3">
        <v>40</v>
      </c>
      <c r="F3">
        <v>50</v>
      </c>
    </row>
    <row r="4" spans="1:6" x14ac:dyDescent="0.2">
      <c r="A4" t="s">
        <v>2</v>
      </c>
      <c r="B4" t="s">
        <v>38</v>
      </c>
      <c r="C4" t="s">
        <v>794</v>
      </c>
      <c r="D4" s="1" t="s">
        <v>796</v>
      </c>
      <c r="E4">
        <v>60</v>
      </c>
      <c r="F4">
        <v>70</v>
      </c>
    </row>
    <row r="5" spans="1:6" x14ac:dyDescent="0.2">
      <c r="D5" s="1"/>
    </row>
    <row r="6" spans="1:6" x14ac:dyDescent="0.2">
      <c r="D6" s="1"/>
    </row>
    <row r="7" spans="1:6" x14ac:dyDescent="0.2">
      <c r="D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552A60-D92D-0744-921B-90BCB729C0B9}">
          <x14:formula1>
            <xm:f>crop_ref!$A$2:$A$5</xm:f>
          </x14:formula1>
          <xm:sqref>A2:A4</xm:sqref>
        </x14:dataValidation>
        <x14:dataValidation type="list" allowBlank="1" showInputMessage="1" showErrorMessage="1" xr:uid="{9173C125-2F02-A74E-89B5-4402C8C65D9C}">
          <x14:formula1>
            <xm:f>crop_ref!$B$2:$B$5</xm:f>
          </x14:formula1>
          <xm:sqref>B2:B4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92B2-2C41-1244-8687-204538C3610A}">
  <dimension ref="A1:J4"/>
  <sheetViews>
    <sheetView tabSelected="1" topLeftCell="C1" workbookViewId="0">
      <selection activeCell="K1" sqref="K1:K1048576"/>
    </sheetView>
  </sheetViews>
  <sheetFormatPr baseColWidth="10" defaultRowHeight="16" x14ac:dyDescent="0.2"/>
  <cols>
    <col min="3" max="3" width="12.83203125" customWidth="1"/>
    <col min="4" max="4" width="13.6640625" customWidth="1"/>
  </cols>
  <sheetData>
    <row r="1" spans="1:10" x14ac:dyDescent="0.2">
      <c r="A1" t="s">
        <v>811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192</v>
      </c>
      <c r="H1" t="s">
        <v>803</v>
      </c>
      <c r="I1" t="s">
        <v>840</v>
      </c>
      <c r="J1" t="s">
        <v>839</v>
      </c>
    </row>
    <row r="2" spans="1:10" x14ac:dyDescent="0.2">
      <c r="A2" t="s">
        <v>799</v>
      </c>
      <c r="B2" t="s">
        <v>763</v>
      </c>
      <c r="C2" t="s">
        <v>764</v>
      </c>
      <c r="D2" s="2" t="s">
        <v>406</v>
      </c>
      <c r="E2" s="3" t="s">
        <v>1046</v>
      </c>
      <c r="F2" s="2" t="s">
        <v>765</v>
      </c>
      <c r="G2" s="3" t="s">
        <v>766</v>
      </c>
      <c r="H2" t="s">
        <v>831</v>
      </c>
      <c r="I2">
        <v>500</v>
      </c>
      <c r="J2">
        <v>50</v>
      </c>
    </row>
    <row r="3" spans="1:10" x14ac:dyDescent="0.2">
      <c r="A3" t="s">
        <v>800</v>
      </c>
      <c r="B3" t="s">
        <v>767</v>
      </c>
      <c r="C3" t="s">
        <v>764</v>
      </c>
      <c r="D3" s="2" t="s">
        <v>455</v>
      </c>
      <c r="E3" s="3" t="s">
        <v>1047</v>
      </c>
      <c r="F3" s="2" t="s">
        <v>765</v>
      </c>
      <c r="G3" s="3" t="s">
        <v>282</v>
      </c>
      <c r="H3" t="s">
        <v>830</v>
      </c>
      <c r="I3">
        <v>250</v>
      </c>
      <c r="J3">
        <v>30</v>
      </c>
    </row>
    <row r="4" spans="1:10" x14ac:dyDescent="0.2">
      <c r="A4" t="s">
        <v>801</v>
      </c>
      <c r="B4" t="s">
        <v>768</v>
      </c>
      <c r="C4" t="s">
        <v>764</v>
      </c>
      <c r="D4" s="2" t="s">
        <v>357</v>
      </c>
      <c r="E4" s="3" t="s">
        <v>1040</v>
      </c>
      <c r="F4" s="2" t="s">
        <v>765</v>
      </c>
      <c r="G4" s="3" t="s">
        <v>281</v>
      </c>
      <c r="H4" t="s">
        <v>830</v>
      </c>
      <c r="I4">
        <v>1000</v>
      </c>
      <c r="J4">
        <v>60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EC3E7C0-CBBF-014A-829B-A72C51123E9B}">
          <x14:formula1>
            <xm:f>ref!$A$17:$A$19</xm:f>
          </x14:formula1>
          <xm:sqref>H2:H4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G28"/>
  <sheetViews>
    <sheetView zoomScale="130" zoomScaleNormal="130" workbookViewId="0">
      <selection activeCell="G2" sqref="G2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6" width="20.6640625" customWidth="1"/>
  </cols>
  <sheetData>
    <row r="1" spans="1:7" x14ac:dyDescent="0.2">
      <c r="A1" t="s">
        <v>0</v>
      </c>
      <c r="B1" t="s">
        <v>274</v>
      </c>
      <c r="C1" t="s">
        <v>9</v>
      </c>
      <c r="D1" t="s">
        <v>11</v>
      </c>
      <c r="E1" t="s">
        <v>811</v>
      </c>
      <c r="F1" t="s">
        <v>761</v>
      </c>
      <c r="G1" t="s">
        <v>844</v>
      </c>
    </row>
    <row r="2" spans="1:7" x14ac:dyDescent="0.2">
      <c r="A2" t="s">
        <v>2</v>
      </c>
      <c r="B2" t="s">
        <v>272</v>
      </c>
      <c r="C2" t="str">
        <f>_xlfn.XLOOKUP(D2,ref!$B$2:$B$12,ref!$A$2:$A$12,"not found")</f>
        <v>w004</v>
      </c>
      <c r="D2" t="s">
        <v>63</v>
      </c>
      <c r="E2" t="str">
        <f>_xlfn.XLOOKUP(F2,prod_her!$B$2:$B$4,prod_her!$A$2:$A$4,"not found")</f>
        <v>her001</v>
      </c>
      <c r="F2" t="s">
        <v>763</v>
      </c>
      <c r="G2" t="s">
        <v>836</v>
      </c>
    </row>
    <row r="3" spans="1:7" x14ac:dyDescent="0.2">
      <c r="A3" t="s">
        <v>2</v>
      </c>
      <c r="B3" t="s">
        <v>272</v>
      </c>
      <c r="C3" t="str">
        <f>_xlfn.XLOOKUP(D3,ref!$B$2:$B$12,ref!$A$2:$A$12,"not found")</f>
        <v>w003</v>
      </c>
      <c r="D3" t="s">
        <v>59</v>
      </c>
      <c r="E3" t="str">
        <f>_xlfn.XLOOKUP(F3,prod_her!$B$2:$B$4,prod_her!$A$2:$A$4,"not found")</f>
        <v>her001</v>
      </c>
      <c r="F3" t="s">
        <v>763</v>
      </c>
      <c r="G3" t="s">
        <v>836</v>
      </c>
    </row>
    <row r="4" spans="1:7" x14ac:dyDescent="0.2">
      <c r="A4" t="s">
        <v>2</v>
      </c>
      <c r="B4" t="s">
        <v>272</v>
      </c>
      <c r="C4" t="str">
        <f>_xlfn.XLOOKUP(D4,ref!$B$2:$B$12,ref!$A$2:$A$12,"not found")</f>
        <v>w001</v>
      </c>
      <c r="D4" t="s">
        <v>52</v>
      </c>
      <c r="E4" t="str">
        <f>_xlfn.XLOOKUP(F4,prod_her!$B$2:$B$4,prod_her!$A$2:$A$4,"not found")</f>
        <v>her001</v>
      </c>
      <c r="F4" t="s">
        <v>763</v>
      </c>
      <c r="G4" t="s">
        <v>836</v>
      </c>
    </row>
    <row r="5" spans="1:7" ht="14" customHeight="1" x14ac:dyDescent="0.2">
      <c r="A5" t="s">
        <v>2</v>
      </c>
      <c r="B5" t="s">
        <v>272</v>
      </c>
      <c r="C5" t="str">
        <f>_xlfn.XLOOKUP(D5,ref!$B$2:$B$12,ref!$A$2:$A$12,"not found")</f>
        <v>w002</v>
      </c>
      <c r="D5" t="s">
        <v>54</v>
      </c>
      <c r="E5" t="str">
        <f>_xlfn.XLOOKUP(F5,prod_her!$B$2:$B$4,prod_her!$A$2:$A$4,"not found")</f>
        <v>her001</v>
      </c>
      <c r="F5" t="s">
        <v>763</v>
      </c>
      <c r="G5" t="s">
        <v>836</v>
      </c>
    </row>
    <row r="6" spans="1:7" ht="14" customHeight="1" x14ac:dyDescent="0.2">
      <c r="A6" t="s">
        <v>2</v>
      </c>
      <c r="B6" t="s">
        <v>272</v>
      </c>
      <c r="C6" t="str">
        <f>_xlfn.XLOOKUP(D6,ref!$B$2:$B$12,ref!$A$2:$A$12,"not found")</f>
        <v>w009</v>
      </c>
      <c r="D6" t="s">
        <v>85</v>
      </c>
      <c r="E6" t="str">
        <f>_xlfn.XLOOKUP(F6,prod_her!$B$2:$B$4,prod_her!$A$2:$A$4,"not found")</f>
        <v>her001</v>
      </c>
      <c r="F6" t="s">
        <v>763</v>
      </c>
      <c r="G6" t="s">
        <v>836</v>
      </c>
    </row>
    <row r="7" spans="1:7" ht="14" customHeight="1" x14ac:dyDescent="0.2">
      <c r="A7" t="s">
        <v>2</v>
      </c>
      <c r="B7" t="s">
        <v>272</v>
      </c>
      <c r="C7" t="str">
        <f>_xlfn.XLOOKUP(D7,ref!$B$2:$B$12,ref!$A$2:$A$12,"not found")</f>
        <v>w010</v>
      </c>
      <c r="D7" t="s">
        <v>88</v>
      </c>
      <c r="E7" t="str">
        <f>_xlfn.XLOOKUP(F7,prod_her!$B$2:$B$4,prod_her!$A$2:$A$4,"not found")</f>
        <v>her001</v>
      </c>
      <c r="F7" t="s">
        <v>763</v>
      </c>
      <c r="G7" t="s">
        <v>836</v>
      </c>
    </row>
    <row r="8" spans="1:7" ht="14" customHeight="1" x14ac:dyDescent="0.2">
      <c r="A8" t="s">
        <v>2</v>
      </c>
      <c r="B8" t="s">
        <v>272</v>
      </c>
      <c r="C8" t="str">
        <f>_xlfn.XLOOKUP(D8,ref!$B$2:$B$12,ref!$A$2:$A$12,"not found")</f>
        <v>w005</v>
      </c>
      <c r="D8" t="s">
        <v>65</v>
      </c>
      <c r="E8" t="str">
        <f>_xlfn.XLOOKUP(F8,prod_her!$B$2:$B$4,prod_her!$A$2:$A$4,"not found")</f>
        <v>her001</v>
      </c>
      <c r="F8" t="s">
        <v>763</v>
      </c>
      <c r="G8" t="s">
        <v>836</v>
      </c>
    </row>
    <row r="9" spans="1:7" ht="14" customHeight="1" x14ac:dyDescent="0.2">
      <c r="A9" t="s">
        <v>2</v>
      </c>
      <c r="B9" t="s">
        <v>272</v>
      </c>
      <c r="C9" t="str">
        <f>_xlfn.XLOOKUP(D9,ref!$B$2:$B$12,ref!$A$2:$A$12,"not found")</f>
        <v>w006</v>
      </c>
      <c r="D9" t="s">
        <v>72</v>
      </c>
      <c r="E9" t="str">
        <f>_xlfn.XLOOKUP(F9,prod_her!$B$2:$B$4,prod_her!$A$2:$A$4,"not found")</f>
        <v>her001</v>
      </c>
      <c r="F9" t="s">
        <v>763</v>
      </c>
      <c r="G9" t="s">
        <v>836</v>
      </c>
    </row>
    <row r="10" spans="1:7" x14ac:dyDescent="0.2">
      <c r="A10" t="s">
        <v>2</v>
      </c>
      <c r="B10" t="s">
        <v>272</v>
      </c>
      <c r="C10" t="str">
        <f>_xlfn.XLOOKUP(D10,ref!$B$2:$B$12,ref!$A$2:$A$12,"not found")</f>
        <v>w007</v>
      </c>
      <c r="D10" t="s">
        <v>77</v>
      </c>
      <c r="E10" t="str">
        <f>_xlfn.XLOOKUP(F10,prod_her!$B$2:$B$4,prod_her!$A$2:$A$4,"not found")</f>
        <v>her001</v>
      </c>
      <c r="F10" t="s">
        <v>763</v>
      </c>
      <c r="G10" t="s">
        <v>836</v>
      </c>
    </row>
    <row r="11" spans="1:7" x14ac:dyDescent="0.2">
      <c r="A11" t="s">
        <v>2</v>
      </c>
      <c r="B11" t="s">
        <v>271</v>
      </c>
      <c r="C11" t="str">
        <f>_xlfn.XLOOKUP(D11,ref!$B$2:$B$12,ref!$A$2:$A$12,"not found")</f>
        <v>w011</v>
      </c>
      <c r="D11" t="s">
        <v>91</v>
      </c>
      <c r="E11" t="str">
        <f>_xlfn.XLOOKUP(F11,prod_her!$B$2:$B$4,prod_her!$A$2:$A$4,"not found")</f>
        <v>her002</v>
      </c>
      <c r="F11" t="s">
        <v>767</v>
      </c>
      <c r="G11" t="s">
        <v>836</v>
      </c>
    </row>
    <row r="12" spans="1:7" x14ac:dyDescent="0.2">
      <c r="A12" t="s">
        <v>2</v>
      </c>
      <c r="B12" t="s">
        <v>271</v>
      </c>
      <c r="C12" t="str">
        <f>_xlfn.XLOOKUP(D12,ref!$B$2:$B$12,ref!$A$2:$A$12,"not found")</f>
        <v>w004</v>
      </c>
      <c r="D12" t="s">
        <v>63</v>
      </c>
      <c r="E12" t="str">
        <f>_xlfn.XLOOKUP(F12,prod_her!$B$2:$B$4,prod_her!$A$2:$A$4,"not found")</f>
        <v>her002</v>
      </c>
      <c r="F12" t="s">
        <v>767</v>
      </c>
      <c r="G12" t="s">
        <v>836</v>
      </c>
    </row>
    <row r="13" spans="1:7" x14ac:dyDescent="0.2">
      <c r="A13" t="s">
        <v>2</v>
      </c>
      <c r="B13" t="s">
        <v>271</v>
      </c>
      <c r="C13" t="str">
        <f>_xlfn.XLOOKUP(D13,ref!$B$2:$B$12,ref!$A$2:$A$12,"not found")</f>
        <v>w001</v>
      </c>
      <c r="D13" t="s">
        <v>52</v>
      </c>
      <c r="E13" t="str">
        <f>_xlfn.XLOOKUP(F13,prod_her!$B$2:$B$4,prod_her!$A$2:$A$4,"not found")</f>
        <v>her002</v>
      </c>
      <c r="F13" t="s">
        <v>767</v>
      </c>
      <c r="G13" t="s">
        <v>836</v>
      </c>
    </row>
    <row r="14" spans="1:7" x14ac:dyDescent="0.2">
      <c r="A14" t="s">
        <v>2</v>
      </c>
      <c r="B14" t="s">
        <v>271</v>
      </c>
      <c r="C14" t="str">
        <f>_xlfn.XLOOKUP(D14,ref!$B$2:$B$12,ref!$A$2:$A$12,"not found")</f>
        <v>w003</v>
      </c>
      <c r="D14" t="s">
        <v>59</v>
      </c>
      <c r="E14" t="str">
        <f>_xlfn.XLOOKUP(F14,prod_her!$B$2:$B$4,prod_her!$A$2:$A$4,"not found")</f>
        <v>her002</v>
      </c>
      <c r="F14" t="s">
        <v>767</v>
      </c>
      <c r="G14" t="s">
        <v>836</v>
      </c>
    </row>
    <row r="15" spans="1:7" x14ac:dyDescent="0.2">
      <c r="A15" t="s">
        <v>2</v>
      </c>
      <c r="B15" t="s">
        <v>271</v>
      </c>
      <c r="C15" t="str">
        <f>_xlfn.XLOOKUP(D15,ref!$B$2:$B$12,ref!$A$2:$A$12,"not found")</f>
        <v>w002</v>
      </c>
      <c r="D15" t="s">
        <v>54</v>
      </c>
      <c r="E15" t="str">
        <f>_xlfn.XLOOKUP(F15,prod_her!$B$2:$B$4,prod_her!$A$2:$A$4,"not found")</f>
        <v>her002</v>
      </c>
      <c r="F15" t="s">
        <v>767</v>
      </c>
      <c r="G15" t="s">
        <v>836</v>
      </c>
    </row>
    <row r="16" spans="1:7" x14ac:dyDescent="0.2">
      <c r="A16" t="s">
        <v>2</v>
      </c>
      <c r="B16" t="s">
        <v>271</v>
      </c>
      <c r="C16" t="str">
        <f>_xlfn.XLOOKUP(D16,ref!$B$2:$B$12,ref!$A$2:$A$12,"not found")</f>
        <v>w009</v>
      </c>
      <c r="D16" t="s">
        <v>85</v>
      </c>
      <c r="E16" t="str">
        <f>_xlfn.XLOOKUP(F16,prod_her!$B$2:$B$4,prod_her!$A$2:$A$4,"not found")</f>
        <v>her002</v>
      </c>
      <c r="F16" t="s">
        <v>767</v>
      </c>
      <c r="G16" t="s">
        <v>836</v>
      </c>
    </row>
    <row r="17" spans="1:7" x14ac:dyDescent="0.2">
      <c r="A17" t="s">
        <v>2</v>
      </c>
      <c r="B17" t="s">
        <v>271</v>
      </c>
      <c r="C17" t="str">
        <f>_xlfn.XLOOKUP(D17,ref!$B$2:$B$12,ref!$A$2:$A$12,"not found")</f>
        <v>w010</v>
      </c>
      <c r="D17" t="s">
        <v>88</v>
      </c>
      <c r="E17" t="str">
        <f>_xlfn.XLOOKUP(F17,prod_her!$B$2:$B$4,prod_her!$A$2:$A$4,"not found")</f>
        <v>her002</v>
      </c>
      <c r="F17" t="s">
        <v>767</v>
      </c>
      <c r="G17" t="s">
        <v>836</v>
      </c>
    </row>
    <row r="18" spans="1:7" x14ac:dyDescent="0.2">
      <c r="A18" t="s">
        <v>2</v>
      </c>
      <c r="B18" t="s">
        <v>271</v>
      </c>
      <c r="C18" t="str">
        <f>_xlfn.XLOOKUP(D18,ref!$B$2:$B$12,ref!$A$2:$A$12,"not found")</f>
        <v>w005</v>
      </c>
      <c r="D18" t="s">
        <v>65</v>
      </c>
      <c r="E18" t="str">
        <f>_xlfn.XLOOKUP(F18,prod_her!$B$2:$B$4,prod_her!$A$2:$A$4,"not found")</f>
        <v>her002</v>
      </c>
      <c r="F18" t="s">
        <v>767</v>
      </c>
      <c r="G18" t="s">
        <v>836</v>
      </c>
    </row>
    <row r="19" spans="1:7" x14ac:dyDescent="0.2">
      <c r="A19" t="s">
        <v>2</v>
      </c>
      <c r="B19" t="s">
        <v>271</v>
      </c>
      <c r="C19" t="str">
        <f>_xlfn.XLOOKUP(D19,ref!$B$2:$B$12,ref!$A$2:$A$12,"not found")</f>
        <v>w006</v>
      </c>
      <c r="D19" t="s">
        <v>72</v>
      </c>
      <c r="E19" t="str">
        <f>_xlfn.XLOOKUP(F19,prod_her!$B$2:$B$4,prod_her!$A$2:$A$4,"not found")</f>
        <v>her002</v>
      </c>
      <c r="F19" t="s">
        <v>767</v>
      </c>
      <c r="G19" t="s">
        <v>836</v>
      </c>
    </row>
    <row r="20" spans="1:7" x14ac:dyDescent="0.2">
      <c r="A20" t="s">
        <v>2</v>
      </c>
      <c r="B20" t="s">
        <v>271</v>
      </c>
      <c r="C20" t="str">
        <f>_xlfn.XLOOKUP(D20,ref!$B$2:$B$12,ref!$A$2:$A$12,"not found")</f>
        <v>w007</v>
      </c>
      <c r="D20" t="s">
        <v>77</v>
      </c>
      <c r="E20" t="str">
        <f>_xlfn.XLOOKUP(F20,prod_her!$B$2:$B$4,prod_her!$A$2:$A$4,"not found")</f>
        <v>her002</v>
      </c>
      <c r="F20" t="s">
        <v>767</v>
      </c>
      <c r="G20" t="s">
        <v>836</v>
      </c>
    </row>
    <row r="21" spans="1:7" x14ac:dyDescent="0.2">
      <c r="A21" t="s">
        <v>2</v>
      </c>
      <c r="B21" t="s">
        <v>272</v>
      </c>
      <c r="C21" t="str">
        <f>_xlfn.XLOOKUP(D21,ref!$B$2:$B$12,ref!$A$2:$A$12,"not found")</f>
        <v>w005</v>
      </c>
      <c r="D21" t="s">
        <v>65</v>
      </c>
      <c r="E21" t="str">
        <f>_xlfn.XLOOKUP(F21,prod_her!$B$2:$B$4,prod_her!$A$2:$A$4,"not found")</f>
        <v>her003</v>
      </c>
      <c r="F21" t="s">
        <v>768</v>
      </c>
      <c r="G21" t="s">
        <v>836</v>
      </c>
    </row>
    <row r="22" spans="1:7" x14ac:dyDescent="0.2">
      <c r="A22" t="s">
        <v>2</v>
      </c>
      <c r="B22" t="s">
        <v>272</v>
      </c>
      <c r="C22" t="str">
        <f>_xlfn.XLOOKUP(D22,ref!$B$2:$B$12,ref!$A$2:$A$12,"not found")</f>
        <v>w006</v>
      </c>
      <c r="D22" t="s">
        <v>72</v>
      </c>
      <c r="E22" t="str">
        <f>_xlfn.XLOOKUP(F22,prod_her!$B$2:$B$4,prod_her!$A$2:$A$4,"not found")</f>
        <v>her003</v>
      </c>
      <c r="F22" t="s">
        <v>768</v>
      </c>
      <c r="G22" t="s">
        <v>836</v>
      </c>
    </row>
    <row r="23" spans="1:7" x14ac:dyDescent="0.2">
      <c r="A23" t="s">
        <v>2</v>
      </c>
      <c r="B23" t="s">
        <v>272</v>
      </c>
      <c r="C23" t="str">
        <f>_xlfn.XLOOKUP(D23,ref!$B$2:$B$12,ref!$A$2:$A$12,"not found")</f>
        <v>w007</v>
      </c>
      <c r="D23" t="s">
        <v>77</v>
      </c>
      <c r="E23" t="str">
        <f>_xlfn.XLOOKUP(F23,prod_her!$B$2:$B$4,prod_her!$A$2:$A$4,"not found")</f>
        <v>her003</v>
      </c>
      <c r="F23" t="s">
        <v>768</v>
      </c>
      <c r="G23" t="s">
        <v>836</v>
      </c>
    </row>
    <row r="24" spans="1:7" x14ac:dyDescent="0.2">
      <c r="A24" t="s">
        <v>2</v>
      </c>
      <c r="B24" t="s">
        <v>272</v>
      </c>
      <c r="C24" t="str">
        <f>_xlfn.XLOOKUP(D24,ref!$B$2:$B$12,ref!$A$2:$A$12,"not found")</f>
        <v>w008</v>
      </c>
      <c r="D24" t="s">
        <v>17</v>
      </c>
      <c r="E24" t="str">
        <f>_xlfn.XLOOKUP(F24,prod_her!$B$2:$B$4,prod_her!$A$2:$A$4,"not found")</f>
        <v>her003</v>
      </c>
      <c r="F24" t="s">
        <v>768</v>
      </c>
      <c r="G24" t="s">
        <v>836</v>
      </c>
    </row>
    <row r="25" spans="1:7" x14ac:dyDescent="0.2">
      <c r="A25" t="s">
        <v>2</v>
      </c>
      <c r="B25" t="s">
        <v>273</v>
      </c>
      <c r="C25" t="str">
        <f>_xlfn.XLOOKUP(D25,ref!$B$2:$B$12,ref!$A$2:$A$12,"not found")</f>
        <v>w005</v>
      </c>
      <c r="D25" t="s">
        <v>65</v>
      </c>
      <c r="E25" t="str">
        <f>_xlfn.XLOOKUP(F25,prod_her!$B$2:$B$4,prod_her!$A$2:$A$4,"not found")</f>
        <v>her003</v>
      </c>
      <c r="F25" t="s">
        <v>768</v>
      </c>
      <c r="G25" t="s">
        <v>836</v>
      </c>
    </row>
    <row r="26" spans="1:7" x14ac:dyDescent="0.2">
      <c r="A26" t="s">
        <v>2</v>
      </c>
      <c r="B26" t="s">
        <v>273</v>
      </c>
      <c r="C26" t="str">
        <f>_xlfn.XLOOKUP(D26,ref!$B$2:$B$12,ref!$A$2:$A$12,"not found")</f>
        <v>w006</v>
      </c>
      <c r="D26" t="s">
        <v>72</v>
      </c>
      <c r="E26" t="str">
        <f>_xlfn.XLOOKUP(F26,prod_her!$B$2:$B$4,prod_her!$A$2:$A$4,"not found")</f>
        <v>her003</v>
      </c>
      <c r="F26" t="s">
        <v>768</v>
      </c>
      <c r="G26" t="s">
        <v>836</v>
      </c>
    </row>
    <row r="27" spans="1:7" x14ac:dyDescent="0.2">
      <c r="A27" t="s">
        <v>2</v>
      </c>
      <c r="B27" t="s">
        <v>273</v>
      </c>
      <c r="C27" t="str">
        <f>_xlfn.XLOOKUP(D27,ref!$B$2:$B$12,ref!$A$2:$A$12,"not found")</f>
        <v>w007</v>
      </c>
      <c r="D27" t="s">
        <v>77</v>
      </c>
      <c r="E27" t="str">
        <f>_xlfn.XLOOKUP(F27,prod_her!$B$2:$B$4,prod_her!$A$2:$A$4,"not found")</f>
        <v>her003</v>
      </c>
      <c r="F27" t="s">
        <v>768</v>
      </c>
      <c r="G27" t="s">
        <v>836</v>
      </c>
    </row>
    <row r="28" spans="1:7" x14ac:dyDescent="0.2">
      <c r="A28" t="s">
        <v>2</v>
      </c>
      <c r="B28" t="s">
        <v>273</v>
      </c>
      <c r="C28" t="str">
        <f>_xlfn.XLOOKUP(D28,ref!$B$2:$B$12,ref!$A$2:$A$12,"not found")</f>
        <v>w008</v>
      </c>
      <c r="D28" t="s">
        <v>17</v>
      </c>
      <c r="E28" t="str">
        <f>_xlfn.XLOOKUP(F28,prod_her!$B$2:$B$4,prod_her!$A$2:$A$4,"not found")</f>
        <v>her003</v>
      </c>
      <c r="F28" t="s">
        <v>768</v>
      </c>
      <c r="G28" t="s">
        <v>836</v>
      </c>
    </row>
  </sheetData>
  <autoFilter ref="A1:F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640E01-4EC9-8240-8C2D-92AD27E43EC8}">
          <x14:formula1>
            <xm:f>ref!$B$2:$B$17</xm:f>
          </x14:formula1>
          <xm:sqref>D87:F109 D78:F81 F48:F63 D69:F72 D2:D63 E29:E63</xm:sqref>
        </x14:dataValidation>
        <x14:dataValidation type="list" allowBlank="1" showInputMessage="1" showErrorMessage="1" xr:uid="{D4020CC2-D43A-2E4C-AD39-237DCB25458B}">
          <x14:formula1>
            <xm:f>prod_her!$B$2:$B$4</xm:f>
          </x14:formula1>
          <xm:sqref>F2:F28</xm:sqref>
        </x14:dataValidation>
        <x14:dataValidation type="list" allowBlank="1" showInputMessage="1" showErrorMessage="1" xr:uid="{59D3603E-4EBE-5F44-B8B0-FAA4AF0FC40D}">
          <x14:formula1>
            <xm:f>ref!$C$17:$C$19</xm:f>
          </x14:formula1>
          <xm:sqref>G2:G28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C794A-5FA1-4646-81AA-07F6C43DAC20}">
  <dimension ref="A1:J49"/>
  <sheetViews>
    <sheetView topLeftCell="C1" workbookViewId="0">
      <selection activeCell="I1" sqref="I1:I1048576"/>
    </sheetView>
  </sheetViews>
  <sheetFormatPr baseColWidth="10" defaultRowHeight="16" x14ac:dyDescent="0.2"/>
  <cols>
    <col min="4" max="4" width="25.6640625" customWidth="1"/>
  </cols>
  <sheetData>
    <row r="1" spans="1:10" x14ac:dyDescent="0.2">
      <c r="A1" t="s">
        <v>812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833</v>
      </c>
      <c r="H1" t="s">
        <v>803</v>
      </c>
      <c r="I1" t="s">
        <v>840</v>
      </c>
      <c r="J1" t="s">
        <v>839</v>
      </c>
    </row>
    <row r="2" spans="1:10" x14ac:dyDescent="0.2">
      <c r="A2" t="s">
        <v>804</v>
      </c>
      <c r="B2" t="s">
        <v>769</v>
      </c>
      <c r="C2" t="s">
        <v>764</v>
      </c>
      <c r="D2" t="s">
        <v>772</v>
      </c>
      <c r="E2" t="s">
        <v>972</v>
      </c>
      <c r="F2" t="s">
        <v>773</v>
      </c>
      <c r="G2" s="1" t="s">
        <v>774</v>
      </c>
      <c r="H2" t="s">
        <v>831</v>
      </c>
      <c r="I2">
        <v>1000</v>
      </c>
      <c r="J2">
        <v>100</v>
      </c>
    </row>
    <row r="3" spans="1:10" x14ac:dyDescent="0.2">
      <c r="A3" t="s">
        <v>805</v>
      </c>
      <c r="B3" t="s">
        <v>770</v>
      </c>
      <c r="C3" t="s">
        <v>764</v>
      </c>
      <c r="D3" t="s">
        <v>657</v>
      </c>
      <c r="E3" t="s">
        <v>973</v>
      </c>
      <c r="F3" t="s">
        <v>765</v>
      </c>
      <c r="G3" s="1" t="s">
        <v>775</v>
      </c>
      <c r="H3" t="s">
        <v>832</v>
      </c>
      <c r="I3">
        <v>1000</v>
      </c>
      <c r="J3">
        <v>300</v>
      </c>
    </row>
    <row r="4" spans="1:10" x14ac:dyDescent="0.2">
      <c r="A4" t="s">
        <v>806</v>
      </c>
      <c r="B4" t="s">
        <v>771</v>
      </c>
      <c r="C4" t="s">
        <v>764</v>
      </c>
      <c r="D4" t="s">
        <v>776</v>
      </c>
      <c r="E4" t="s">
        <v>777</v>
      </c>
      <c r="F4" t="s">
        <v>778</v>
      </c>
      <c r="G4" s="1" t="s">
        <v>779</v>
      </c>
      <c r="H4" t="s">
        <v>832</v>
      </c>
      <c r="I4">
        <v>10</v>
      </c>
      <c r="J4">
        <v>2</v>
      </c>
    </row>
    <row r="5" spans="1:10" x14ac:dyDescent="0.2">
      <c r="B5" t="s">
        <v>902</v>
      </c>
      <c r="C5" t="s">
        <v>764</v>
      </c>
      <c r="D5" t="s">
        <v>901</v>
      </c>
      <c r="E5" s="1" t="s">
        <v>974</v>
      </c>
      <c r="F5" t="s">
        <v>956</v>
      </c>
      <c r="G5" t="s">
        <v>903</v>
      </c>
      <c r="H5" t="s">
        <v>831</v>
      </c>
      <c r="I5">
        <v>500</v>
      </c>
      <c r="J5">
        <v>40</v>
      </c>
    </row>
    <row r="6" spans="1:10" x14ac:dyDescent="0.2">
      <c r="B6" t="s">
        <v>999</v>
      </c>
      <c r="C6" t="s">
        <v>764</v>
      </c>
      <c r="D6" t="s">
        <v>998</v>
      </c>
      <c r="E6" s="1" t="s">
        <v>957</v>
      </c>
      <c r="F6" t="s">
        <v>773</v>
      </c>
      <c r="G6" t="s">
        <v>1000</v>
      </c>
      <c r="H6" t="s">
        <v>830</v>
      </c>
      <c r="I6">
        <v>1000</v>
      </c>
      <c r="J6">
        <v>10</v>
      </c>
    </row>
    <row r="7" spans="1:10" x14ac:dyDescent="0.2">
      <c r="B7" t="s">
        <v>906</v>
      </c>
      <c r="C7" t="s">
        <v>948</v>
      </c>
      <c r="D7" t="s">
        <v>906</v>
      </c>
      <c r="E7" t="s">
        <v>958</v>
      </c>
      <c r="F7" t="s">
        <v>765</v>
      </c>
      <c r="G7" t="s">
        <v>907</v>
      </c>
      <c r="H7" t="s">
        <v>832</v>
      </c>
      <c r="I7">
        <v>1000</v>
      </c>
      <c r="J7">
        <v>40</v>
      </c>
    </row>
    <row r="8" spans="1:10" x14ac:dyDescent="0.2">
      <c r="B8" t="s">
        <v>910</v>
      </c>
      <c r="C8" t="s">
        <v>948</v>
      </c>
      <c r="D8" t="s">
        <v>910</v>
      </c>
      <c r="E8" t="s">
        <v>960</v>
      </c>
      <c r="F8" t="s">
        <v>773</v>
      </c>
      <c r="G8" t="s">
        <v>911</v>
      </c>
      <c r="H8" t="s">
        <v>832</v>
      </c>
      <c r="I8">
        <v>1000</v>
      </c>
      <c r="J8">
        <v>30</v>
      </c>
    </row>
    <row r="9" spans="1:10" x14ac:dyDescent="0.2">
      <c r="B9" t="s">
        <v>929</v>
      </c>
      <c r="C9" t="s">
        <v>948</v>
      </c>
      <c r="D9" t="s">
        <v>928</v>
      </c>
      <c r="E9" s="1" t="s">
        <v>977</v>
      </c>
      <c r="F9" t="s">
        <v>789</v>
      </c>
      <c r="G9" t="s">
        <v>919</v>
      </c>
      <c r="H9" t="s">
        <v>832</v>
      </c>
      <c r="I9">
        <v>100</v>
      </c>
      <c r="J9">
        <v>10</v>
      </c>
    </row>
    <row r="10" spans="1:10" x14ac:dyDescent="0.2">
      <c r="B10" t="s">
        <v>931</v>
      </c>
      <c r="C10" t="s">
        <v>948</v>
      </c>
      <c r="D10" t="s">
        <v>930</v>
      </c>
      <c r="E10" t="s">
        <v>966</v>
      </c>
      <c r="F10" t="s">
        <v>773</v>
      </c>
      <c r="G10">
        <v>5</v>
      </c>
      <c r="H10" t="s">
        <v>832</v>
      </c>
      <c r="I10">
        <v>250</v>
      </c>
      <c r="J10">
        <v>15</v>
      </c>
    </row>
    <row r="11" spans="1:10" x14ac:dyDescent="0.2">
      <c r="B11" t="s">
        <v>936</v>
      </c>
      <c r="C11" t="s">
        <v>948</v>
      </c>
      <c r="D11" t="s">
        <v>936</v>
      </c>
      <c r="E11" s="1" t="s">
        <v>978</v>
      </c>
      <c r="F11" t="s">
        <v>778</v>
      </c>
      <c r="G11" t="s">
        <v>937</v>
      </c>
      <c r="H11" t="s">
        <v>832</v>
      </c>
      <c r="I11">
        <v>100</v>
      </c>
      <c r="J11">
        <v>10</v>
      </c>
    </row>
    <row r="12" spans="1:10" x14ac:dyDescent="0.2">
      <c r="B12" t="s">
        <v>989</v>
      </c>
      <c r="C12" t="s">
        <v>948</v>
      </c>
      <c r="D12" t="s">
        <v>989</v>
      </c>
      <c r="E12" s="1" t="s">
        <v>957</v>
      </c>
      <c r="F12" t="s">
        <v>765</v>
      </c>
      <c r="G12" t="s">
        <v>990</v>
      </c>
      <c r="H12" t="s">
        <v>832</v>
      </c>
      <c r="I12">
        <v>1000</v>
      </c>
      <c r="J12">
        <v>30</v>
      </c>
    </row>
    <row r="13" spans="1:10" x14ac:dyDescent="0.2">
      <c r="B13" t="s">
        <v>993</v>
      </c>
      <c r="C13" t="s">
        <v>948</v>
      </c>
      <c r="D13" t="s">
        <v>993</v>
      </c>
      <c r="E13" s="1" t="s">
        <v>957</v>
      </c>
      <c r="F13" t="s">
        <v>765</v>
      </c>
      <c r="G13">
        <v>19</v>
      </c>
      <c r="H13" t="s">
        <v>832</v>
      </c>
      <c r="I13">
        <v>1000</v>
      </c>
      <c r="J13">
        <v>30</v>
      </c>
    </row>
    <row r="14" spans="1:10" x14ac:dyDescent="0.2">
      <c r="B14" t="s">
        <v>1007</v>
      </c>
      <c r="C14" t="s">
        <v>948</v>
      </c>
      <c r="D14" t="s">
        <v>1004</v>
      </c>
      <c r="E14" s="1" t="s">
        <v>1041</v>
      </c>
      <c r="F14" t="s">
        <v>765</v>
      </c>
      <c r="G14" t="s">
        <v>1000</v>
      </c>
      <c r="H14" t="s">
        <v>832</v>
      </c>
      <c r="I14">
        <v>1000</v>
      </c>
      <c r="J14">
        <v>20</v>
      </c>
    </row>
    <row r="15" spans="1:10" x14ac:dyDescent="0.2">
      <c r="B15" t="s">
        <v>876</v>
      </c>
      <c r="C15" t="s">
        <v>948</v>
      </c>
      <c r="D15" t="s">
        <v>1012</v>
      </c>
      <c r="E15" s="1" t="s">
        <v>964</v>
      </c>
      <c r="G15">
        <v>23</v>
      </c>
      <c r="H15" t="s">
        <v>832</v>
      </c>
      <c r="I15">
        <v>1000</v>
      </c>
      <c r="J15">
        <v>15</v>
      </c>
    </row>
    <row r="16" spans="1:10" x14ac:dyDescent="0.2">
      <c r="B16" t="s">
        <v>1012</v>
      </c>
      <c r="C16" t="s">
        <v>1013</v>
      </c>
      <c r="D16" t="s">
        <v>1012</v>
      </c>
      <c r="E16" s="1" t="s">
        <v>964</v>
      </c>
      <c r="F16" t="s">
        <v>773</v>
      </c>
      <c r="G16">
        <v>23</v>
      </c>
      <c r="H16" t="s">
        <v>832</v>
      </c>
      <c r="I16">
        <v>1000</v>
      </c>
      <c r="J16">
        <v>15</v>
      </c>
    </row>
    <row r="17" spans="2:10" x14ac:dyDescent="0.2">
      <c r="B17" t="s">
        <v>920</v>
      </c>
      <c r="C17" t="s">
        <v>951</v>
      </c>
      <c r="D17" t="s">
        <v>721</v>
      </c>
      <c r="E17" t="s">
        <v>964</v>
      </c>
      <c r="F17" t="s">
        <v>773</v>
      </c>
      <c r="G17" t="s">
        <v>919</v>
      </c>
      <c r="H17" t="s">
        <v>830</v>
      </c>
      <c r="I17">
        <v>100</v>
      </c>
      <c r="J17">
        <v>5</v>
      </c>
    </row>
    <row r="18" spans="2:10" x14ac:dyDescent="0.2">
      <c r="B18" t="s">
        <v>924</v>
      </c>
      <c r="C18" t="s">
        <v>951</v>
      </c>
      <c r="D18" t="s">
        <v>923</v>
      </c>
      <c r="E18" s="1" t="s">
        <v>976</v>
      </c>
      <c r="F18" t="s">
        <v>778</v>
      </c>
      <c r="G18" t="s">
        <v>919</v>
      </c>
      <c r="H18" t="s">
        <v>830</v>
      </c>
      <c r="I18">
        <v>1000</v>
      </c>
      <c r="J18">
        <v>5</v>
      </c>
    </row>
    <row r="19" spans="2:10" x14ac:dyDescent="0.2">
      <c r="B19" t="s">
        <v>1010</v>
      </c>
      <c r="C19" t="s">
        <v>1011</v>
      </c>
      <c r="D19" t="s">
        <v>700</v>
      </c>
      <c r="E19" s="1" t="s">
        <v>964</v>
      </c>
      <c r="F19" t="s">
        <v>773</v>
      </c>
      <c r="G19">
        <v>23</v>
      </c>
      <c r="H19" t="s">
        <v>832</v>
      </c>
      <c r="I19">
        <v>500</v>
      </c>
      <c r="J19">
        <v>6</v>
      </c>
    </row>
    <row r="20" spans="2:10" x14ac:dyDescent="0.2">
      <c r="B20" t="s">
        <v>986</v>
      </c>
      <c r="C20" t="s">
        <v>988</v>
      </c>
      <c r="D20" t="s">
        <v>985</v>
      </c>
      <c r="E20" s="1" t="s">
        <v>1037</v>
      </c>
      <c r="F20" t="s">
        <v>773</v>
      </c>
      <c r="G20" t="s">
        <v>987</v>
      </c>
      <c r="H20" t="s">
        <v>832</v>
      </c>
      <c r="I20">
        <v>1000</v>
      </c>
      <c r="J20">
        <v>15</v>
      </c>
    </row>
    <row r="21" spans="2:10" x14ac:dyDescent="0.2">
      <c r="B21" t="s">
        <v>980</v>
      </c>
      <c r="C21" t="s">
        <v>979</v>
      </c>
      <c r="D21" t="s">
        <v>910</v>
      </c>
      <c r="E21" t="s">
        <v>959</v>
      </c>
      <c r="F21" t="s">
        <v>773</v>
      </c>
      <c r="G21" t="s">
        <v>911</v>
      </c>
      <c r="H21" t="s">
        <v>832</v>
      </c>
      <c r="I21">
        <v>1000</v>
      </c>
      <c r="J21">
        <v>10</v>
      </c>
    </row>
    <row r="22" spans="2:10" x14ac:dyDescent="0.2">
      <c r="B22" t="s">
        <v>925</v>
      </c>
      <c r="C22" t="s">
        <v>952</v>
      </c>
      <c r="D22" t="s">
        <v>923</v>
      </c>
      <c r="E22" s="1" t="s">
        <v>976</v>
      </c>
      <c r="F22" t="s">
        <v>778</v>
      </c>
      <c r="G22" t="s">
        <v>919</v>
      </c>
      <c r="H22" t="s">
        <v>832</v>
      </c>
      <c r="I22">
        <v>1000</v>
      </c>
      <c r="J22">
        <v>10</v>
      </c>
    </row>
    <row r="23" spans="2:10" x14ac:dyDescent="0.2">
      <c r="B23" t="s">
        <v>939</v>
      </c>
      <c r="C23" t="s">
        <v>955</v>
      </c>
      <c r="D23" t="s">
        <v>938</v>
      </c>
      <c r="E23" t="s">
        <v>959</v>
      </c>
      <c r="F23" t="s">
        <v>773</v>
      </c>
      <c r="G23" t="s">
        <v>940</v>
      </c>
      <c r="H23" t="s">
        <v>832</v>
      </c>
      <c r="I23">
        <v>500</v>
      </c>
      <c r="J23">
        <v>10</v>
      </c>
    </row>
    <row r="24" spans="2:10" x14ac:dyDescent="0.2">
      <c r="B24" t="s">
        <v>939</v>
      </c>
      <c r="C24" t="s">
        <v>955</v>
      </c>
      <c r="D24" t="s">
        <v>938</v>
      </c>
      <c r="E24" s="1" t="s">
        <v>959</v>
      </c>
      <c r="F24" t="s">
        <v>773</v>
      </c>
      <c r="G24" t="s">
        <v>940</v>
      </c>
      <c r="H24" t="s">
        <v>832</v>
      </c>
      <c r="I24">
        <v>500</v>
      </c>
      <c r="J24">
        <v>10</v>
      </c>
    </row>
    <row r="25" spans="2:10" x14ac:dyDescent="0.2">
      <c r="B25" t="s">
        <v>1002</v>
      </c>
      <c r="C25" t="s">
        <v>1003</v>
      </c>
      <c r="D25" t="s">
        <v>1001</v>
      </c>
      <c r="E25" s="1" t="s">
        <v>960</v>
      </c>
      <c r="F25" t="s">
        <v>773</v>
      </c>
      <c r="G25" t="s">
        <v>1000</v>
      </c>
      <c r="H25" t="s">
        <v>832</v>
      </c>
      <c r="I25">
        <v>1000</v>
      </c>
      <c r="J25">
        <v>15</v>
      </c>
    </row>
    <row r="26" spans="2:10" x14ac:dyDescent="0.2">
      <c r="B26" t="s">
        <v>916</v>
      </c>
      <c r="C26" t="s">
        <v>949</v>
      </c>
      <c r="D26" t="s">
        <v>915</v>
      </c>
      <c r="E26" t="s">
        <v>957</v>
      </c>
      <c r="F26" t="s">
        <v>765</v>
      </c>
      <c r="G26" t="s">
        <v>914</v>
      </c>
      <c r="H26" t="s">
        <v>832</v>
      </c>
      <c r="I26">
        <v>1000</v>
      </c>
      <c r="J26">
        <v>40</v>
      </c>
    </row>
    <row r="27" spans="2:10" x14ac:dyDescent="0.2">
      <c r="B27" t="s">
        <v>933</v>
      </c>
      <c r="C27" t="s">
        <v>954</v>
      </c>
      <c r="D27" t="s">
        <v>932</v>
      </c>
      <c r="E27" t="s">
        <v>966</v>
      </c>
      <c r="F27" t="s">
        <v>773</v>
      </c>
      <c r="G27">
        <v>5</v>
      </c>
      <c r="H27" t="s">
        <v>830</v>
      </c>
      <c r="I27">
        <v>250</v>
      </c>
      <c r="J27">
        <v>5</v>
      </c>
    </row>
    <row r="28" spans="2:10" x14ac:dyDescent="0.2">
      <c r="B28" t="s">
        <v>935</v>
      </c>
      <c r="C28" t="s">
        <v>954</v>
      </c>
      <c r="D28" t="s">
        <v>934</v>
      </c>
      <c r="E28" t="s">
        <v>967</v>
      </c>
      <c r="F28" t="s">
        <v>765</v>
      </c>
      <c r="G28">
        <v>6</v>
      </c>
      <c r="H28" t="s">
        <v>832</v>
      </c>
      <c r="I28">
        <v>1000</v>
      </c>
      <c r="J28">
        <v>20</v>
      </c>
    </row>
    <row r="29" spans="2:10" x14ac:dyDescent="0.2">
      <c r="B29" t="s">
        <v>935</v>
      </c>
      <c r="C29" t="s">
        <v>954</v>
      </c>
      <c r="D29" t="s">
        <v>934</v>
      </c>
      <c r="E29" t="s">
        <v>968</v>
      </c>
      <c r="F29" t="s">
        <v>969</v>
      </c>
      <c r="G29">
        <v>6</v>
      </c>
      <c r="H29" t="s">
        <v>832</v>
      </c>
      <c r="I29">
        <v>1000</v>
      </c>
      <c r="J29">
        <v>10</v>
      </c>
    </row>
    <row r="30" spans="2:10" x14ac:dyDescent="0.2">
      <c r="B30" t="s">
        <v>982</v>
      </c>
      <c r="C30" t="s">
        <v>949</v>
      </c>
      <c r="D30" t="s">
        <v>981</v>
      </c>
      <c r="E30" s="1" t="s">
        <v>967</v>
      </c>
      <c r="F30" t="s">
        <v>773</v>
      </c>
      <c r="G30" t="s">
        <v>983</v>
      </c>
      <c r="H30" t="s">
        <v>832</v>
      </c>
      <c r="I30">
        <v>1000</v>
      </c>
      <c r="J30">
        <v>30</v>
      </c>
    </row>
    <row r="31" spans="2:10" x14ac:dyDescent="0.2">
      <c r="B31" t="s">
        <v>991</v>
      </c>
      <c r="C31" t="s">
        <v>949</v>
      </c>
      <c r="D31" t="s">
        <v>989</v>
      </c>
      <c r="E31" s="1" t="s">
        <v>1038</v>
      </c>
      <c r="F31" t="s">
        <v>789</v>
      </c>
      <c r="G31" t="s">
        <v>990</v>
      </c>
      <c r="H31" t="s">
        <v>831</v>
      </c>
      <c r="I31">
        <v>1000</v>
      </c>
      <c r="J31">
        <v>30</v>
      </c>
    </row>
    <row r="32" spans="2:10" x14ac:dyDescent="0.2">
      <c r="B32" t="s">
        <v>992</v>
      </c>
      <c r="C32" t="s">
        <v>949</v>
      </c>
      <c r="D32" t="s">
        <v>989</v>
      </c>
      <c r="E32" s="1" t="s">
        <v>1039</v>
      </c>
      <c r="F32" t="s">
        <v>969</v>
      </c>
      <c r="G32" t="s">
        <v>990</v>
      </c>
      <c r="H32" t="s">
        <v>831</v>
      </c>
      <c r="I32">
        <v>1000</v>
      </c>
      <c r="J32">
        <v>15</v>
      </c>
    </row>
    <row r="33" spans="2:10" x14ac:dyDescent="0.2">
      <c r="B33" t="s">
        <v>1021</v>
      </c>
      <c r="C33" t="s">
        <v>949</v>
      </c>
      <c r="D33" t="s">
        <v>1020</v>
      </c>
      <c r="E33" s="1" t="s">
        <v>1044</v>
      </c>
      <c r="F33" t="s">
        <v>773</v>
      </c>
      <c r="G33" t="s">
        <v>1022</v>
      </c>
      <c r="H33" t="s">
        <v>832</v>
      </c>
      <c r="I33">
        <v>250</v>
      </c>
      <c r="J33">
        <v>4</v>
      </c>
    </row>
    <row r="34" spans="2:10" x14ac:dyDescent="0.2">
      <c r="B34" t="s">
        <v>1024</v>
      </c>
      <c r="C34" t="s">
        <v>949</v>
      </c>
      <c r="D34" t="s">
        <v>1023</v>
      </c>
      <c r="E34" s="1" t="s">
        <v>1045</v>
      </c>
      <c r="F34" t="s">
        <v>778</v>
      </c>
      <c r="G34" t="s">
        <v>1025</v>
      </c>
      <c r="H34" t="s">
        <v>832</v>
      </c>
      <c r="I34">
        <v>1000</v>
      </c>
      <c r="J34">
        <v>60</v>
      </c>
    </row>
    <row r="35" spans="2:10" x14ac:dyDescent="0.2">
      <c r="B35" t="s">
        <v>909</v>
      </c>
      <c r="C35" t="s">
        <v>888</v>
      </c>
      <c r="D35" t="s">
        <v>908</v>
      </c>
      <c r="E35" t="s">
        <v>958</v>
      </c>
      <c r="F35" t="s">
        <v>765</v>
      </c>
      <c r="G35" t="s">
        <v>907</v>
      </c>
      <c r="H35" t="s">
        <v>832</v>
      </c>
      <c r="I35">
        <v>1000</v>
      </c>
      <c r="J35">
        <v>30</v>
      </c>
    </row>
    <row r="36" spans="2:10" x14ac:dyDescent="0.2">
      <c r="B36" t="s">
        <v>944</v>
      </c>
      <c r="C36" t="s">
        <v>888</v>
      </c>
      <c r="D36" t="s">
        <v>943</v>
      </c>
      <c r="E36" t="s">
        <v>961</v>
      </c>
      <c r="F36" t="s">
        <v>970</v>
      </c>
      <c r="G36">
        <v>30</v>
      </c>
      <c r="H36" t="s">
        <v>830</v>
      </c>
      <c r="I36">
        <v>500</v>
      </c>
      <c r="J36">
        <v>10</v>
      </c>
    </row>
    <row r="37" spans="2:10" x14ac:dyDescent="0.2">
      <c r="B37" t="s">
        <v>1018</v>
      </c>
      <c r="C37" t="s">
        <v>1019</v>
      </c>
      <c r="D37" t="s">
        <v>1017</v>
      </c>
      <c r="E37" s="1" t="s">
        <v>1043</v>
      </c>
      <c r="F37" t="s">
        <v>773</v>
      </c>
      <c r="G37" t="s">
        <v>1016</v>
      </c>
      <c r="H37" t="s">
        <v>830</v>
      </c>
      <c r="I37">
        <v>250</v>
      </c>
      <c r="J37">
        <v>4</v>
      </c>
    </row>
    <row r="38" spans="2:10" x14ac:dyDescent="0.2">
      <c r="B38" t="s">
        <v>905</v>
      </c>
      <c r="C38" t="s">
        <v>947</v>
      </c>
      <c r="D38" t="s">
        <v>904</v>
      </c>
      <c r="E38" t="s">
        <v>957</v>
      </c>
      <c r="F38" t="s">
        <v>765</v>
      </c>
      <c r="G38" t="s">
        <v>903</v>
      </c>
      <c r="H38" t="s">
        <v>831</v>
      </c>
      <c r="I38">
        <v>1000</v>
      </c>
      <c r="J38">
        <v>40</v>
      </c>
    </row>
    <row r="39" spans="2:10" x14ac:dyDescent="0.2">
      <c r="B39" t="s">
        <v>913</v>
      </c>
      <c r="C39" t="s">
        <v>947</v>
      </c>
      <c r="D39" t="s">
        <v>912</v>
      </c>
      <c r="E39" t="s">
        <v>961</v>
      </c>
      <c r="F39" t="s">
        <v>765</v>
      </c>
      <c r="G39" t="s">
        <v>914</v>
      </c>
      <c r="H39" t="s">
        <v>831</v>
      </c>
      <c r="I39">
        <v>1000</v>
      </c>
      <c r="J39">
        <v>20</v>
      </c>
    </row>
    <row r="40" spans="2:10" x14ac:dyDescent="0.2">
      <c r="B40" t="s">
        <v>922</v>
      </c>
      <c r="C40" t="s">
        <v>947</v>
      </c>
      <c r="D40" t="s">
        <v>921</v>
      </c>
      <c r="E40" s="1" t="s">
        <v>975</v>
      </c>
      <c r="F40" t="s">
        <v>965</v>
      </c>
      <c r="G40" t="s">
        <v>919</v>
      </c>
      <c r="H40" t="s">
        <v>831</v>
      </c>
      <c r="I40">
        <v>100</v>
      </c>
      <c r="J40">
        <v>10</v>
      </c>
    </row>
    <row r="41" spans="2:10" x14ac:dyDescent="0.2">
      <c r="B41" t="s">
        <v>942</v>
      </c>
      <c r="C41" t="s">
        <v>947</v>
      </c>
      <c r="D41" t="s">
        <v>941</v>
      </c>
      <c r="E41" s="1" t="s">
        <v>978</v>
      </c>
      <c r="F41" t="s">
        <v>778</v>
      </c>
      <c r="G41">
        <v>29</v>
      </c>
      <c r="H41" t="s">
        <v>832</v>
      </c>
      <c r="I41">
        <v>250</v>
      </c>
      <c r="J41">
        <v>5</v>
      </c>
    </row>
    <row r="42" spans="2:10" x14ac:dyDescent="0.2">
      <c r="B42" t="s">
        <v>984</v>
      </c>
      <c r="C42" t="s">
        <v>947</v>
      </c>
      <c r="D42" t="s">
        <v>981</v>
      </c>
      <c r="E42" s="1" t="s">
        <v>977</v>
      </c>
      <c r="F42" t="s">
        <v>789</v>
      </c>
      <c r="G42" t="s">
        <v>983</v>
      </c>
      <c r="H42" t="s">
        <v>831</v>
      </c>
      <c r="I42">
        <v>1000</v>
      </c>
      <c r="J42">
        <v>4</v>
      </c>
    </row>
    <row r="43" spans="2:10" x14ac:dyDescent="0.2">
      <c r="B43" t="s">
        <v>1009</v>
      </c>
      <c r="C43" t="s">
        <v>947</v>
      </c>
      <c r="D43" t="s">
        <v>1008</v>
      </c>
      <c r="E43" s="1" t="s">
        <v>1042</v>
      </c>
      <c r="F43" t="s">
        <v>765</v>
      </c>
      <c r="G43" t="s">
        <v>1000</v>
      </c>
      <c r="H43" t="s">
        <v>830</v>
      </c>
      <c r="I43">
        <v>1000</v>
      </c>
      <c r="J43">
        <v>3</v>
      </c>
    </row>
    <row r="44" spans="2:10" x14ac:dyDescent="0.2">
      <c r="B44" t="s">
        <v>1015</v>
      </c>
      <c r="C44" t="s">
        <v>947</v>
      </c>
      <c r="D44" t="s">
        <v>1014</v>
      </c>
      <c r="E44" s="1" t="s">
        <v>957</v>
      </c>
      <c r="F44" t="s">
        <v>773</v>
      </c>
      <c r="G44" t="s">
        <v>1016</v>
      </c>
      <c r="H44" t="s">
        <v>832</v>
      </c>
      <c r="I44">
        <v>1000</v>
      </c>
      <c r="J44">
        <v>10</v>
      </c>
    </row>
    <row r="45" spans="2:10" x14ac:dyDescent="0.2">
      <c r="B45" t="s">
        <v>927</v>
      </c>
      <c r="C45" t="s">
        <v>953</v>
      </c>
      <c r="D45" t="s">
        <v>926</v>
      </c>
      <c r="E45" s="1" t="s">
        <v>974</v>
      </c>
      <c r="F45" t="s">
        <v>956</v>
      </c>
      <c r="G45" t="s">
        <v>919</v>
      </c>
      <c r="H45" t="s">
        <v>831</v>
      </c>
      <c r="I45">
        <v>100</v>
      </c>
      <c r="J45">
        <v>10</v>
      </c>
    </row>
    <row r="46" spans="2:10" x14ac:dyDescent="0.2">
      <c r="B46" t="s">
        <v>1005</v>
      </c>
      <c r="C46" t="s">
        <v>1006</v>
      </c>
      <c r="D46" t="s">
        <v>1004</v>
      </c>
      <c r="E46" s="1" t="s">
        <v>974</v>
      </c>
      <c r="F46" t="s">
        <v>789</v>
      </c>
      <c r="G46" t="s">
        <v>1000</v>
      </c>
      <c r="H46" t="s">
        <v>832</v>
      </c>
      <c r="I46">
        <v>500</v>
      </c>
      <c r="J46">
        <v>15</v>
      </c>
    </row>
    <row r="47" spans="2:10" x14ac:dyDescent="0.2">
      <c r="B47" t="s">
        <v>995</v>
      </c>
      <c r="C47" t="s">
        <v>997</v>
      </c>
      <c r="D47" t="s">
        <v>994</v>
      </c>
      <c r="E47" s="1" t="s">
        <v>1040</v>
      </c>
      <c r="F47" t="s">
        <v>773</v>
      </c>
      <c r="G47" t="s">
        <v>996</v>
      </c>
      <c r="H47" t="s">
        <v>832</v>
      </c>
      <c r="I47">
        <v>1000</v>
      </c>
      <c r="J47">
        <v>3</v>
      </c>
    </row>
    <row r="48" spans="2:10" x14ac:dyDescent="0.2">
      <c r="B48" t="s">
        <v>918</v>
      </c>
      <c r="C48" t="s">
        <v>950</v>
      </c>
      <c r="D48" t="s">
        <v>917</v>
      </c>
      <c r="E48" t="s">
        <v>962</v>
      </c>
      <c r="F48" t="s">
        <v>963</v>
      </c>
      <c r="G48" t="s">
        <v>919</v>
      </c>
      <c r="H48" t="s">
        <v>832</v>
      </c>
      <c r="I48">
        <v>1000</v>
      </c>
      <c r="J48">
        <v>10</v>
      </c>
    </row>
    <row r="49" spans="2:10" x14ac:dyDescent="0.2">
      <c r="B49" t="s">
        <v>946</v>
      </c>
      <c r="C49" t="s">
        <v>950</v>
      </c>
      <c r="D49" t="s">
        <v>945</v>
      </c>
      <c r="E49" t="s">
        <v>971</v>
      </c>
      <c r="F49" t="s">
        <v>773</v>
      </c>
      <c r="G49">
        <v>34</v>
      </c>
      <c r="H49" t="s">
        <v>830</v>
      </c>
      <c r="I49">
        <v>250</v>
      </c>
      <c r="J49">
        <v>10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7A5D9C-6F5F-7044-882F-80BF58B917B1}">
          <x14:formula1>
            <xm:f>ref!$A$17:$A$19</xm:f>
          </x14:formula1>
          <xm:sqref>H26:H49 H2:H25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J14"/>
  <sheetViews>
    <sheetView zoomScale="140" zoomScaleNormal="140" workbookViewId="0">
      <selection activeCell="A7" sqref="A7"/>
    </sheetView>
  </sheetViews>
  <sheetFormatPr baseColWidth="10" defaultRowHeight="16" x14ac:dyDescent="0.2"/>
  <cols>
    <col min="3" max="3" width="18.6640625" bestFit="1" customWidth="1"/>
    <col min="4" max="4" width="18.6640625" customWidth="1"/>
    <col min="5" max="5" width="16.83203125" customWidth="1"/>
    <col min="6" max="6" width="14.33203125" customWidth="1"/>
    <col min="7" max="7" width="18.6640625" bestFit="1" customWidth="1"/>
    <col min="8" max="8" width="12.6640625" bestFit="1" customWidth="1"/>
    <col min="9" max="9" width="15.6640625" bestFit="1" customWidth="1"/>
  </cols>
  <sheetData>
    <row r="1" spans="1:10" x14ac:dyDescent="0.2">
      <c r="A1" t="s">
        <v>0</v>
      </c>
      <c r="B1" t="s">
        <v>6</v>
      </c>
      <c r="C1" t="s">
        <v>8</v>
      </c>
      <c r="D1" t="s">
        <v>812</v>
      </c>
      <c r="E1" t="s">
        <v>761</v>
      </c>
      <c r="F1" t="s">
        <v>844</v>
      </c>
    </row>
    <row r="2" spans="1:10" x14ac:dyDescent="0.2">
      <c r="A2" t="s">
        <v>2</v>
      </c>
      <c r="B2" t="str">
        <f>_xlfn.XLOOKUP(C2,crop_pest!$D$2:$D$13,crop_pest!$B$2:$B$13,"not found")</f>
        <v>p001</v>
      </c>
      <c r="C2" t="s">
        <v>41</v>
      </c>
      <c r="D2" t="str">
        <f>_xlfn.XLOOKUP(E2,prod_ins!$B$2:$B$4,prod_ins!$A$2:$A$4,"not found")</f>
        <v>ins001</v>
      </c>
      <c r="E2" t="s">
        <v>769</v>
      </c>
      <c r="F2" t="s">
        <v>836</v>
      </c>
      <c r="J2" s="1"/>
    </row>
    <row r="3" spans="1:10" x14ac:dyDescent="0.2">
      <c r="A3" t="s">
        <v>2</v>
      </c>
      <c r="B3" t="str">
        <f>_xlfn.XLOOKUP(C3,crop_pest!$D$2:$D$13,crop_pest!$B$2:$B$13,"not found")</f>
        <v>p009</v>
      </c>
      <c r="C3" t="s">
        <v>110</v>
      </c>
      <c r="D3" t="str">
        <f>_xlfn.XLOOKUP(E3,prod_ins!$B$2:$B$4,prod_ins!$A$2:$A$4,"not found")</f>
        <v>ins001</v>
      </c>
      <c r="E3" t="s">
        <v>769</v>
      </c>
      <c r="F3" t="s">
        <v>836</v>
      </c>
      <c r="J3" s="1"/>
    </row>
    <row r="4" spans="1:10" x14ac:dyDescent="0.2">
      <c r="A4" t="s">
        <v>2</v>
      </c>
      <c r="B4" t="str">
        <f>_xlfn.XLOOKUP(C4,crop_pest!$D$2:$D$13,crop_pest!$B$2:$B$13,"not found")</f>
        <v>p010</v>
      </c>
      <c r="C4" t="s">
        <v>112</v>
      </c>
      <c r="D4" t="str">
        <f>_xlfn.XLOOKUP(E4,prod_ins!$B$2:$B$4,prod_ins!$A$2:$A$4,"not found")</f>
        <v>ins001</v>
      </c>
      <c r="E4" t="s">
        <v>769</v>
      </c>
      <c r="F4" t="s">
        <v>836</v>
      </c>
      <c r="J4" s="1"/>
    </row>
    <row r="5" spans="1:10" x14ac:dyDescent="0.2">
      <c r="A5" t="s">
        <v>2</v>
      </c>
      <c r="B5" t="str">
        <f>_xlfn.XLOOKUP(C5,crop_pest!$D$2:$D$13,crop_pest!$B$2:$B$13,"not found")</f>
        <v>p004</v>
      </c>
      <c r="C5" t="s">
        <v>106</v>
      </c>
      <c r="D5" t="str">
        <f>_xlfn.XLOOKUP(E5,prod_ins!$B$2:$B$4,prod_ins!$A$2:$A$4,"not found")</f>
        <v>ins001</v>
      </c>
      <c r="E5" t="s">
        <v>769</v>
      </c>
      <c r="F5" t="s">
        <v>836</v>
      </c>
      <c r="J5" s="1"/>
    </row>
    <row r="6" spans="1:10" x14ac:dyDescent="0.2">
      <c r="A6" t="s">
        <v>2</v>
      </c>
      <c r="B6" t="str">
        <f>_xlfn.XLOOKUP(C6,crop_pest!$D$2:$D$13,crop_pest!$B$2:$B$13,"not found")</f>
        <v>p012</v>
      </c>
      <c r="C6" t="s">
        <v>172</v>
      </c>
      <c r="D6" t="str">
        <f>_xlfn.XLOOKUP(E6,prod_ins!$B$2:$B$4,prod_ins!$A$2:$A$4,"not found")</f>
        <v>ins001</v>
      </c>
      <c r="E6" t="s">
        <v>769</v>
      </c>
      <c r="F6" t="s">
        <v>836</v>
      </c>
      <c r="J6" s="1"/>
    </row>
    <row r="7" spans="1:10" x14ac:dyDescent="0.2">
      <c r="A7" t="s">
        <v>2</v>
      </c>
      <c r="B7" t="str">
        <f>_xlfn.XLOOKUP(C7,crop_pest!$D$2:$D$13,crop_pest!$B$2:$B$13,"not found")</f>
        <v>p003</v>
      </c>
      <c r="C7" t="s">
        <v>101</v>
      </c>
      <c r="D7" t="str">
        <f>_xlfn.XLOOKUP(E7,prod_ins!$B$2:$B$4,prod_ins!$A$2:$A$4,"not found")</f>
        <v>ins002</v>
      </c>
      <c r="E7" t="s">
        <v>770</v>
      </c>
      <c r="F7" t="s">
        <v>836</v>
      </c>
      <c r="J7" s="1"/>
    </row>
    <row r="8" spans="1:10" x14ac:dyDescent="0.2">
      <c r="A8" t="s">
        <v>2</v>
      </c>
      <c r="B8" t="str">
        <f>_xlfn.XLOOKUP(C8,crop_pest!$D$2:$D$13,crop_pest!$B$2:$B$13,"not found")</f>
        <v>p007</v>
      </c>
      <c r="C8" t="s">
        <v>45</v>
      </c>
      <c r="D8" t="str">
        <f>_xlfn.XLOOKUP(E8,prod_ins!$B$2:$B$4,prod_ins!$A$2:$A$4,"not found")</f>
        <v>ins002</v>
      </c>
      <c r="E8" t="s">
        <v>770</v>
      </c>
      <c r="F8" t="s">
        <v>836</v>
      </c>
      <c r="J8" s="1"/>
    </row>
    <row r="9" spans="1:10" x14ac:dyDescent="0.2">
      <c r="A9" t="s">
        <v>2</v>
      </c>
      <c r="B9" t="str">
        <f>_xlfn.XLOOKUP(C9,crop_pest!$D$2:$D$13,crop_pest!$B$2:$B$13,"not found")</f>
        <v>p006</v>
      </c>
      <c r="C9" t="s">
        <v>46</v>
      </c>
      <c r="D9" t="str">
        <f>_xlfn.XLOOKUP(E9,prod_ins!$B$2:$B$4,prod_ins!$A$2:$A$4,"not found")</f>
        <v>ins002</v>
      </c>
      <c r="E9" t="s">
        <v>770</v>
      </c>
      <c r="F9" t="s">
        <v>836</v>
      </c>
      <c r="J9" s="1"/>
    </row>
    <row r="10" spans="1:10" x14ac:dyDescent="0.2">
      <c r="A10" t="s">
        <v>2</v>
      </c>
      <c r="B10" t="str">
        <f>_xlfn.XLOOKUP(C10,crop_pest!$D$2:$D$13,crop_pest!$B$2:$B$13,"not found")</f>
        <v>p004</v>
      </c>
      <c r="C10" t="s">
        <v>106</v>
      </c>
      <c r="D10" t="str">
        <f>_xlfn.XLOOKUP(E10,prod_ins!$B$2:$B$4,prod_ins!$A$2:$A$4,"not found")</f>
        <v>ins002</v>
      </c>
      <c r="E10" t="s">
        <v>770</v>
      </c>
      <c r="F10" t="s">
        <v>836</v>
      </c>
      <c r="J10" s="1"/>
    </row>
    <row r="11" spans="1:10" x14ac:dyDescent="0.2">
      <c r="A11" t="s">
        <v>2</v>
      </c>
      <c r="B11" t="str">
        <f>_xlfn.XLOOKUP(C11,crop_pest!$D$2:$D$13,crop_pest!$B$2:$B$13,"not found")</f>
        <v>p003</v>
      </c>
      <c r="C11" t="s">
        <v>101</v>
      </c>
      <c r="D11" t="str">
        <f>_xlfn.XLOOKUP(E11,prod_ins!$B$2:$B$4,prod_ins!$A$2:$A$4,"not found")</f>
        <v>ins003</v>
      </c>
      <c r="E11" t="s">
        <v>771</v>
      </c>
      <c r="F11" t="s">
        <v>836</v>
      </c>
      <c r="J11" s="1"/>
    </row>
    <row r="12" spans="1:10" x14ac:dyDescent="0.2">
      <c r="A12" t="s">
        <v>2</v>
      </c>
      <c r="B12" t="str">
        <f>_xlfn.XLOOKUP(C12,crop_pest!$D$2:$D$13,crop_pest!$B$2:$B$13,"not found")</f>
        <v>p006</v>
      </c>
      <c r="C12" t="s">
        <v>46</v>
      </c>
      <c r="D12" t="str">
        <f>_xlfn.XLOOKUP(E12,prod_ins!$B$2:$B$4,prod_ins!$A$2:$A$4,"not found")</f>
        <v>ins003</v>
      </c>
      <c r="E12" t="s">
        <v>771</v>
      </c>
      <c r="F12" t="s">
        <v>836</v>
      </c>
      <c r="J12" s="1"/>
    </row>
    <row r="13" spans="1:10" x14ac:dyDescent="0.2">
      <c r="A13" t="s">
        <v>2</v>
      </c>
      <c r="B13" t="str">
        <f>_xlfn.XLOOKUP(C13,crop_pest!$D$2:$D$13,crop_pest!$B$2:$B$13,"not found")</f>
        <v>p007</v>
      </c>
      <c r="C13" t="s">
        <v>45</v>
      </c>
      <c r="D13" t="str">
        <f>_xlfn.XLOOKUP(E13,prod_ins!$B$2:$B$4,prod_ins!$A$2:$A$4,"not found")</f>
        <v>ins003</v>
      </c>
      <c r="E13" t="s">
        <v>771</v>
      </c>
      <c r="F13" t="s">
        <v>836</v>
      </c>
      <c r="J13" s="1"/>
    </row>
    <row r="14" spans="1:10" x14ac:dyDescent="0.2">
      <c r="A14" t="s">
        <v>2</v>
      </c>
      <c r="B14" t="str">
        <f>_xlfn.XLOOKUP(C14,crop_pest!$D$2:$D$13,crop_pest!$B$2:$B$13,"not found")</f>
        <v>p011</v>
      </c>
      <c r="C14" t="s">
        <v>114</v>
      </c>
      <c r="D14" t="str">
        <f>_xlfn.XLOOKUP(E14,prod_ins!$B$2:$B$4,prod_ins!$A$2:$A$4,"not found")</f>
        <v>ins003</v>
      </c>
      <c r="E14" t="s">
        <v>771</v>
      </c>
      <c r="F14" t="s">
        <v>836</v>
      </c>
      <c r="J14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E8949C0-DCAD-3A43-8CED-DC7D86BCB362}">
          <x14:formula1>
            <xm:f>ref!$O$2:$O$479</xm:f>
          </x14:formula1>
          <xm:sqref>G57:I83</xm:sqref>
        </x14:dataValidation>
        <x14:dataValidation type="list" allowBlank="1" showInputMessage="1" showErrorMessage="1" xr:uid="{E354B6DA-D05D-B645-B012-5E1E4AD0A847}">
          <x14:formula1>
            <xm:f>prod_ins!$B$2:$B$4</xm:f>
          </x14:formula1>
          <xm:sqref>E2:E14</xm:sqref>
        </x14:dataValidation>
        <x14:dataValidation type="list" allowBlank="1" showInputMessage="1" showErrorMessage="1" xr:uid="{35592C18-ECB1-C14B-A4E9-0D58D9131625}">
          <x14:formula1>
            <xm:f>ref!$C$17:$C$19</xm:f>
          </x14:formula1>
          <xm:sqref>F2:F14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DB74-B9D2-BD48-A768-A8A16773930D}">
  <dimension ref="A1:J41"/>
  <sheetViews>
    <sheetView workbookViewId="0">
      <selection activeCell="K1" sqref="K1:K1048576"/>
    </sheetView>
  </sheetViews>
  <sheetFormatPr baseColWidth="10" defaultRowHeight="16" x14ac:dyDescent="0.2"/>
  <cols>
    <col min="4" max="4" width="16.33203125" customWidth="1"/>
    <col min="5" max="5" width="16.6640625" customWidth="1"/>
  </cols>
  <sheetData>
    <row r="1" spans="1:10" x14ac:dyDescent="0.2">
      <c r="A1" t="s">
        <v>813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834</v>
      </c>
      <c r="H1" t="s">
        <v>803</v>
      </c>
      <c r="I1" t="s">
        <v>840</v>
      </c>
      <c r="J1" t="s">
        <v>839</v>
      </c>
    </row>
    <row r="2" spans="1:10" x14ac:dyDescent="0.2">
      <c r="A2" t="s">
        <v>807</v>
      </c>
      <c r="B2" t="s">
        <v>780</v>
      </c>
      <c r="C2" t="s">
        <v>764</v>
      </c>
      <c r="D2" t="s">
        <v>674</v>
      </c>
      <c r="E2" s="1" t="s">
        <v>959</v>
      </c>
      <c r="F2" t="s">
        <v>765</v>
      </c>
      <c r="G2" s="1" t="s">
        <v>781</v>
      </c>
      <c r="H2" t="s">
        <v>832</v>
      </c>
      <c r="I2">
        <v>1000</v>
      </c>
      <c r="J2">
        <v>100</v>
      </c>
    </row>
    <row r="3" spans="1:10" x14ac:dyDescent="0.2">
      <c r="A3" t="s">
        <v>808</v>
      </c>
      <c r="B3" t="s">
        <v>782</v>
      </c>
      <c r="C3" t="s">
        <v>764</v>
      </c>
      <c r="D3" t="s">
        <v>729</v>
      </c>
      <c r="E3" s="1" t="s">
        <v>958</v>
      </c>
      <c r="F3" t="s">
        <v>773</v>
      </c>
      <c r="G3" s="1" t="s">
        <v>783</v>
      </c>
      <c r="H3" t="s">
        <v>830</v>
      </c>
      <c r="I3">
        <v>1000</v>
      </c>
      <c r="J3">
        <v>300</v>
      </c>
    </row>
    <row r="4" spans="1:10" x14ac:dyDescent="0.2">
      <c r="A4" t="s">
        <v>809</v>
      </c>
      <c r="B4" t="s">
        <v>784</v>
      </c>
      <c r="C4" t="s">
        <v>764</v>
      </c>
      <c r="D4" t="s">
        <v>785</v>
      </c>
      <c r="E4" s="1" t="s">
        <v>1026</v>
      </c>
      <c r="F4" t="s">
        <v>773</v>
      </c>
      <c r="G4" s="1" t="s">
        <v>193</v>
      </c>
      <c r="H4" t="s">
        <v>832</v>
      </c>
      <c r="I4">
        <v>5000</v>
      </c>
      <c r="J4">
        <v>100</v>
      </c>
    </row>
    <row r="5" spans="1:10" x14ac:dyDescent="0.2">
      <c r="A5" t="s">
        <v>810</v>
      </c>
      <c r="B5" t="s">
        <v>786</v>
      </c>
      <c r="C5" t="s">
        <v>764</v>
      </c>
      <c r="D5" t="s">
        <v>787</v>
      </c>
      <c r="E5" s="1" t="s">
        <v>788</v>
      </c>
      <c r="F5" t="s">
        <v>789</v>
      </c>
      <c r="G5" s="1" t="s">
        <v>790</v>
      </c>
      <c r="H5" t="s">
        <v>830</v>
      </c>
      <c r="I5">
        <v>1000</v>
      </c>
      <c r="J5">
        <v>400</v>
      </c>
    </row>
    <row r="6" spans="1:10" x14ac:dyDescent="0.2">
      <c r="B6" t="s">
        <v>873</v>
      </c>
      <c r="C6" t="s">
        <v>892</v>
      </c>
      <c r="D6" t="s">
        <v>459</v>
      </c>
      <c r="E6" s="1" t="s">
        <v>1032</v>
      </c>
      <c r="F6" t="s">
        <v>773</v>
      </c>
      <c r="G6" t="s">
        <v>874</v>
      </c>
      <c r="H6" t="s">
        <v>831</v>
      </c>
      <c r="I6">
        <v>1250</v>
      </c>
      <c r="J6">
        <v>20</v>
      </c>
    </row>
    <row r="7" spans="1:10" x14ac:dyDescent="0.2">
      <c r="B7" t="s">
        <v>871</v>
      </c>
      <c r="C7" t="s">
        <v>891</v>
      </c>
      <c r="D7" t="s">
        <v>458</v>
      </c>
      <c r="E7" s="1" t="s">
        <v>1031</v>
      </c>
      <c r="F7" t="s">
        <v>773</v>
      </c>
      <c r="G7" t="s">
        <v>872</v>
      </c>
      <c r="H7" t="s">
        <v>830</v>
      </c>
      <c r="I7">
        <v>950</v>
      </c>
      <c r="J7">
        <v>20</v>
      </c>
    </row>
    <row r="8" spans="1:10" x14ac:dyDescent="0.2">
      <c r="B8" t="s">
        <v>848</v>
      </c>
      <c r="C8" t="s">
        <v>886</v>
      </c>
      <c r="D8" t="s">
        <v>847</v>
      </c>
      <c r="E8" s="1" t="s">
        <v>896</v>
      </c>
      <c r="F8" t="s">
        <v>789</v>
      </c>
      <c r="G8" t="s">
        <v>849</v>
      </c>
      <c r="H8" t="s">
        <v>830</v>
      </c>
      <c r="I8">
        <v>620</v>
      </c>
      <c r="J8">
        <v>40</v>
      </c>
    </row>
    <row r="9" spans="1:10" x14ac:dyDescent="0.2">
      <c r="B9" t="s">
        <v>855</v>
      </c>
      <c r="C9" t="s">
        <v>886</v>
      </c>
      <c r="D9" t="s">
        <v>854</v>
      </c>
      <c r="E9" s="1" t="s">
        <v>1027</v>
      </c>
      <c r="F9" t="s">
        <v>789</v>
      </c>
      <c r="G9" t="s">
        <v>856</v>
      </c>
      <c r="H9" t="s">
        <v>830</v>
      </c>
      <c r="I9">
        <v>800</v>
      </c>
      <c r="J9">
        <v>40</v>
      </c>
    </row>
    <row r="10" spans="1:10" x14ac:dyDescent="0.2">
      <c r="B10" t="s">
        <v>869</v>
      </c>
      <c r="C10" t="s">
        <v>890</v>
      </c>
      <c r="D10" t="s">
        <v>868</v>
      </c>
      <c r="E10" s="1" t="s">
        <v>900</v>
      </c>
      <c r="F10" t="s">
        <v>778</v>
      </c>
      <c r="G10" t="s">
        <v>870</v>
      </c>
      <c r="H10" t="s">
        <v>832</v>
      </c>
      <c r="I10">
        <v>230</v>
      </c>
      <c r="J10">
        <v>20</v>
      </c>
    </row>
    <row r="11" spans="1:10" x14ac:dyDescent="0.2">
      <c r="B11" t="s">
        <v>858</v>
      </c>
      <c r="C11" t="s">
        <v>889</v>
      </c>
      <c r="D11" t="s">
        <v>857</v>
      </c>
      <c r="E11" s="1" t="s">
        <v>899</v>
      </c>
      <c r="F11" t="s">
        <v>778</v>
      </c>
      <c r="G11" t="s">
        <v>859</v>
      </c>
      <c r="H11" t="s">
        <v>831</v>
      </c>
      <c r="I11">
        <v>280</v>
      </c>
      <c r="J11">
        <v>40</v>
      </c>
    </row>
    <row r="12" spans="1:10" x14ac:dyDescent="0.2">
      <c r="B12" t="s">
        <v>866</v>
      </c>
      <c r="C12" t="s">
        <v>889</v>
      </c>
      <c r="D12" t="s">
        <v>425</v>
      </c>
      <c r="E12" s="1" t="s">
        <v>1030</v>
      </c>
      <c r="F12" t="s">
        <v>778</v>
      </c>
      <c r="G12" t="s">
        <v>867</v>
      </c>
      <c r="H12" t="s">
        <v>831</v>
      </c>
      <c r="I12">
        <v>2200</v>
      </c>
      <c r="J12">
        <v>20</v>
      </c>
    </row>
    <row r="13" spans="1:10" x14ac:dyDescent="0.2">
      <c r="B13" t="s">
        <v>876</v>
      </c>
      <c r="C13" t="s">
        <v>893</v>
      </c>
      <c r="D13" t="s">
        <v>875</v>
      </c>
      <c r="E13" s="1" t="s">
        <v>1033</v>
      </c>
      <c r="F13" t="s">
        <v>778</v>
      </c>
      <c r="G13" t="s">
        <v>877</v>
      </c>
      <c r="H13" t="s">
        <v>832</v>
      </c>
      <c r="I13">
        <v>680</v>
      </c>
      <c r="J13">
        <v>40</v>
      </c>
    </row>
    <row r="14" spans="1:10" x14ac:dyDescent="0.2">
      <c r="B14" t="s">
        <v>876</v>
      </c>
      <c r="C14" t="s">
        <v>893</v>
      </c>
      <c r="D14" t="s">
        <v>881</v>
      </c>
      <c r="E14" s="1" t="s">
        <v>1035</v>
      </c>
      <c r="F14" t="s">
        <v>789</v>
      </c>
      <c r="G14" t="s">
        <v>882</v>
      </c>
      <c r="H14" t="s">
        <v>832</v>
      </c>
      <c r="I14">
        <v>280</v>
      </c>
      <c r="J14">
        <v>40</v>
      </c>
    </row>
    <row r="15" spans="1:10" x14ac:dyDescent="0.2">
      <c r="B15" t="s">
        <v>884</v>
      </c>
      <c r="C15" t="s">
        <v>895</v>
      </c>
      <c r="D15" t="s">
        <v>883</v>
      </c>
      <c r="E15" s="1" t="s">
        <v>1036</v>
      </c>
      <c r="F15" t="s">
        <v>773</v>
      </c>
      <c r="G15" t="s">
        <v>885</v>
      </c>
      <c r="H15" t="s">
        <v>832</v>
      </c>
      <c r="I15">
        <v>880</v>
      </c>
      <c r="J15">
        <v>30</v>
      </c>
    </row>
    <row r="16" spans="1:10" x14ac:dyDescent="0.2">
      <c r="B16" t="s">
        <v>851</v>
      </c>
      <c r="C16" t="s">
        <v>887</v>
      </c>
      <c r="D16" t="s">
        <v>850</v>
      </c>
      <c r="E16" s="1" t="s">
        <v>898</v>
      </c>
      <c r="F16" t="s">
        <v>778</v>
      </c>
      <c r="G16" t="s">
        <v>849</v>
      </c>
      <c r="H16" t="s">
        <v>831</v>
      </c>
      <c r="I16">
        <v>850</v>
      </c>
      <c r="J16">
        <v>50</v>
      </c>
    </row>
    <row r="17" spans="2:10" x14ac:dyDescent="0.2">
      <c r="B17" t="s">
        <v>861</v>
      </c>
      <c r="C17" t="s">
        <v>888</v>
      </c>
      <c r="D17" t="s">
        <v>860</v>
      </c>
      <c r="E17" s="1" t="s">
        <v>1028</v>
      </c>
      <c r="F17" t="s">
        <v>778</v>
      </c>
      <c r="G17" t="s">
        <v>862</v>
      </c>
      <c r="H17" t="s">
        <v>830</v>
      </c>
      <c r="I17">
        <v>450</v>
      </c>
      <c r="J17">
        <v>40</v>
      </c>
    </row>
    <row r="18" spans="2:10" x14ac:dyDescent="0.2">
      <c r="B18" t="s">
        <v>864</v>
      </c>
      <c r="C18" t="s">
        <v>888</v>
      </c>
      <c r="D18" t="s">
        <v>863</v>
      </c>
      <c r="E18" s="1" t="s">
        <v>897</v>
      </c>
      <c r="F18" t="s">
        <v>773</v>
      </c>
      <c r="G18" t="s">
        <v>865</v>
      </c>
      <c r="H18" t="s">
        <v>830</v>
      </c>
      <c r="I18">
        <v>300</v>
      </c>
      <c r="J18">
        <v>60</v>
      </c>
    </row>
    <row r="19" spans="2:10" x14ac:dyDescent="0.2">
      <c r="B19" t="s">
        <v>853</v>
      </c>
      <c r="C19" t="s">
        <v>888</v>
      </c>
      <c r="D19" t="s">
        <v>852</v>
      </c>
      <c r="E19" s="1" t="s">
        <v>1029</v>
      </c>
      <c r="F19" t="s">
        <v>778</v>
      </c>
      <c r="G19" t="s">
        <v>849</v>
      </c>
      <c r="H19" t="s">
        <v>830</v>
      </c>
      <c r="J19">
        <v>40</v>
      </c>
    </row>
    <row r="20" spans="2:10" x14ac:dyDescent="0.2">
      <c r="B20" t="s">
        <v>879</v>
      </c>
      <c r="C20" t="s">
        <v>894</v>
      </c>
      <c r="D20" t="s">
        <v>878</v>
      </c>
      <c r="E20" s="1" t="s">
        <v>1034</v>
      </c>
      <c r="F20" t="s">
        <v>773</v>
      </c>
      <c r="G20" t="s">
        <v>880</v>
      </c>
      <c r="H20" t="s">
        <v>832</v>
      </c>
      <c r="I20">
        <v>850</v>
      </c>
      <c r="J20">
        <v>30</v>
      </c>
    </row>
    <row r="21" spans="2:10" x14ac:dyDescent="0.2">
      <c r="E21" s="1"/>
    </row>
    <row r="22" spans="2:10" x14ac:dyDescent="0.2">
      <c r="E22" s="1"/>
    </row>
    <row r="23" spans="2:10" x14ac:dyDescent="0.2">
      <c r="E23" s="1"/>
    </row>
    <row r="24" spans="2:10" x14ac:dyDescent="0.2">
      <c r="E24" s="1"/>
    </row>
    <row r="25" spans="2:10" x14ac:dyDescent="0.2">
      <c r="E25" s="1"/>
    </row>
    <row r="26" spans="2:10" x14ac:dyDescent="0.2">
      <c r="E26" s="1"/>
    </row>
    <row r="27" spans="2:10" x14ac:dyDescent="0.2">
      <c r="E27" s="1"/>
    </row>
    <row r="28" spans="2:10" x14ac:dyDescent="0.2">
      <c r="E28" s="1"/>
    </row>
    <row r="29" spans="2:10" x14ac:dyDescent="0.2">
      <c r="E29" s="1"/>
    </row>
    <row r="30" spans="2:10" x14ac:dyDescent="0.2">
      <c r="E30" s="1"/>
    </row>
    <row r="31" spans="2:10" x14ac:dyDescent="0.2">
      <c r="E31" s="1"/>
    </row>
    <row r="32" spans="2:10" x14ac:dyDescent="0.2">
      <c r="E32" s="1"/>
    </row>
    <row r="33" spans="5:5" x14ac:dyDescent="0.2">
      <c r="E33" s="1"/>
    </row>
    <row r="34" spans="5:5" x14ac:dyDescent="0.2">
      <c r="E34" s="1"/>
    </row>
    <row r="35" spans="5:5" x14ac:dyDescent="0.2">
      <c r="E35" s="1"/>
    </row>
    <row r="36" spans="5:5" x14ac:dyDescent="0.2">
      <c r="E36" s="1"/>
    </row>
    <row r="37" spans="5:5" x14ac:dyDescent="0.2">
      <c r="E37" s="1"/>
    </row>
    <row r="38" spans="5:5" x14ac:dyDescent="0.2">
      <c r="E38" s="1"/>
    </row>
    <row r="39" spans="5:5" x14ac:dyDescent="0.2">
      <c r="E39" s="1"/>
    </row>
    <row r="40" spans="5:5" x14ac:dyDescent="0.2">
      <c r="E40" s="1"/>
    </row>
    <row r="41" spans="5:5" x14ac:dyDescent="0.2">
      <c r="E41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D4934-2FE8-4F4C-BEBC-EFA772CF9F0E}">
          <x14:formula1>
            <xm:f>ref!$A$17:$A$19</xm:f>
          </x14:formula1>
          <xm:sqref>H2:H41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F19"/>
  <sheetViews>
    <sheetView zoomScale="130" zoomScaleNormal="130" workbookViewId="0">
      <selection activeCell="G14" sqref="G14"/>
    </sheetView>
  </sheetViews>
  <sheetFormatPr baseColWidth="10" defaultRowHeight="16" x14ac:dyDescent="0.2"/>
  <cols>
    <col min="2" max="2" width="9.83203125" bestFit="1" customWidth="1"/>
    <col min="3" max="4" width="17.83203125" customWidth="1"/>
    <col min="5" max="5" width="11.1640625" bestFit="1" customWidth="1"/>
  </cols>
  <sheetData>
    <row r="1" spans="1:6" x14ac:dyDescent="0.2">
      <c r="A1" t="s">
        <v>0</v>
      </c>
      <c r="B1" t="s">
        <v>18</v>
      </c>
      <c r="C1" t="s">
        <v>20</v>
      </c>
      <c r="D1" t="s">
        <v>813</v>
      </c>
      <c r="E1" t="s">
        <v>761</v>
      </c>
      <c r="F1" t="s">
        <v>844</v>
      </c>
    </row>
    <row r="2" spans="1:6" x14ac:dyDescent="0.2">
      <c r="A2" t="s">
        <v>2</v>
      </c>
      <c r="B2" t="str">
        <f>_xlfn.XLOOKUP(C2,ref!$H$2:$H$19,ref!$G$2:$G$19,"not found")</f>
        <v>d001</v>
      </c>
      <c r="C2" t="s">
        <v>48</v>
      </c>
      <c r="D2" t="str">
        <f>_xlfn.XLOOKUP(E2,prod_fun!$B$2:$B$5,prod_fun!$A$2:$A$5,"not found")</f>
        <v>fun001</v>
      </c>
      <c r="E2" t="s">
        <v>780</v>
      </c>
      <c r="F2" t="s">
        <v>836</v>
      </c>
    </row>
    <row r="3" spans="1:6" x14ac:dyDescent="0.2">
      <c r="A3" t="s">
        <v>2</v>
      </c>
      <c r="B3" t="str">
        <f>_xlfn.XLOOKUP(C3,ref!$H$2:$H$19,ref!$G$2:$G$19,"not found")</f>
        <v>d002</v>
      </c>
      <c r="C3" t="s">
        <v>133</v>
      </c>
      <c r="D3" t="str">
        <f>_xlfn.XLOOKUP(E3,prod_fun!$B$2:$B$5,prod_fun!$A$2:$A$5,"not found")</f>
        <v>fun001</v>
      </c>
      <c r="E3" t="s">
        <v>780</v>
      </c>
      <c r="F3" t="s">
        <v>836</v>
      </c>
    </row>
    <row r="4" spans="1:6" x14ac:dyDescent="0.2">
      <c r="A4" t="s">
        <v>2</v>
      </c>
      <c r="B4" t="str">
        <f>_xlfn.XLOOKUP(C4,ref!$H$2:$H$19,ref!$G$2:$G$19,"not found")</f>
        <v>d003</v>
      </c>
      <c r="C4" t="s">
        <v>134</v>
      </c>
      <c r="D4" t="str">
        <f>_xlfn.XLOOKUP(E4,prod_fun!$B$2:$B$5,prod_fun!$A$2:$A$5,"not found")</f>
        <v>fun001</v>
      </c>
      <c r="E4" t="s">
        <v>780</v>
      </c>
      <c r="F4" t="s">
        <v>836</v>
      </c>
    </row>
    <row r="5" spans="1:6" x14ac:dyDescent="0.2">
      <c r="A5" t="s">
        <v>2</v>
      </c>
      <c r="B5" t="str">
        <f>_xlfn.XLOOKUP(C5,ref!$H$2:$H$19,ref!$G$2:$G$19,"not found")</f>
        <v>d004</v>
      </c>
      <c r="C5" t="s">
        <v>135</v>
      </c>
      <c r="D5" t="str">
        <f>_xlfn.XLOOKUP(E5,prod_fun!$B$2:$B$5,prod_fun!$A$2:$A$5,"not found")</f>
        <v>fun001</v>
      </c>
      <c r="E5" t="s">
        <v>780</v>
      </c>
      <c r="F5" t="s">
        <v>836</v>
      </c>
    </row>
    <row r="6" spans="1:6" x14ac:dyDescent="0.2">
      <c r="A6" t="s">
        <v>2</v>
      </c>
      <c r="B6" t="str">
        <f>_xlfn.XLOOKUP(C6,ref!$H$2:$H$19,ref!$G$2:$G$19,"not found")</f>
        <v>d005</v>
      </c>
      <c r="C6" t="s">
        <v>49</v>
      </c>
      <c r="D6" t="str">
        <f>_xlfn.XLOOKUP(E6,prod_fun!$B$2:$B$5,prod_fun!$A$2:$A$5,"not found")</f>
        <v>fun001</v>
      </c>
      <c r="E6" t="s">
        <v>780</v>
      </c>
      <c r="F6" t="s">
        <v>836</v>
      </c>
    </row>
    <row r="7" spans="1:6" x14ac:dyDescent="0.2">
      <c r="A7" t="s">
        <v>2</v>
      </c>
      <c r="B7" t="str">
        <f>_xlfn.XLOOKUP(C7,ref!$H$2:$H$19,ref!$G$2:$G$19,"not found")</f>
        <v>d006</v>
      </c>
      <c r="C7" t="s">
        <v>136</v>
      </c>
      <c r="D7" t="str">
        <f>_xlfn.XLOOKUP(E7,prod_fun!$B$2:$B$5,prod_fun!$A$2:$A$5,"not found")</f>
        <v>fun001</v>
      </c>
      <c r="E7" t="s">
        <v>780</v>
      </c>
      <c r="F7" t="s">
        <v>836</v>
      </c>
    </row>
    <row r="8" spans="1:6" x14ac:dyDescent="0.2">
      <c r="A8" t="s">
        <v>2</v>
      </c>
      <c r="B8" t="str">
        <f>_xlfn.XLOOKUP(C8,ref!$H$2:$H$19,ref!$G$2:$G$19,"not found")</f>
        <v>d007</v>
      </c>
      <c r="C8" t="s">
        <v>137</v>
      </c>
      <c r="D8" t="str">
        <f>_xlfn.XLOOKUP(E8,prod_fun!$B$2:$B$5,prod_fun!$A$2:$A$5,"not found")</f>
        <v>fun001</v>
      </c>
      <c r="E8" t="s">
        <v>780</v>
      </c>
      <c r="F8" t="s">
        <v>836</v>
      </c>
    </row>
    <row r="9" spans="1:6" x14ac:dyDescent="0.2">
      <c r="A9" t="s">
        <v>2</v>
      </c>
      <c r="B9" t="str">
        <f>_xlfn.XLOOKUP(C9,ref!$H$2:$H$19,ref!$G$2:$G$19,"not found")</f>
        <v>d001</v>
      </c>
      <c r="C9" t="s">
        <v>48</v>
      </c>
      <c r="D9" t="str">
        <f>_xlfn.XLOOKUP(E9,prod_fun!$B$2:$B$5,prod_fun!$A$2:$A$5,"not found")</f>
        <v>fun002</v>
      </c>
      <c r="E9" t="s">
        <v>782</v>
      </c>
      <c r="F9" t="s">
        <v>836</v>
      </c>
    </row>
    <row r="10" spans="1:6" x14ac:dyDescent="0.2">
      <c r="A10" t="s">
        <v>2</v>
      </c>
      <c r="B10" t="str">
        <f>_xlfn.XLOOKUP(C10,ref!$H$2:$H$19,ref!$G$2:$G$19,"not found")</f>
        <v>d002</v>
      </c>
      <c r="C10" t="s">
        <v>133</v>
      </c>
      <c r="D10" t="str">
        <f>_xlfn.XLOOKUP(E10,prod_fun!$B$2:$B$5,prod_fun!$A$2:$A$5,"not found")</f>
        <v>fun002</v>
      </c>
      <c r="E10" t="s">
        <v>782</v>
      </c>
      <c r="F10" t="s">
        <v>836</v>
      </c>
    </row>
    <row r="11" spans="1:6" x14ac:dyDescent="0.2">
      <c r="A11" t="s">
        <v>2</v>
      </c>
      <c r="B11" t="str">
        <f>_xlfn.XLOOKUP(C11,ref!$H$2:$H$19,ref!$G$2:$G$19,"not found")</f>
        <v>d003</v>
      </c>
      <c r="C11" t="s">
        <v>134</v>
      </c>
      <c r="D11" t="str">
        <f>_xlfn.XLOOKUP(E11,prod_fun!$B$2:$B$5,prod_fun!$A$2:$A$5,"not found")</f>
        <v>fun002</v>
      </c>
      <c r="E11" t="s">
        <v>782</v>
      </c>
      <c r="F11" t="s">
        <v>836</v>
      </c>
    </row>
    <row r="12" spans="1:6" x14ac:dyDescent="0.2">
      <c r="A12" t="s">
        <v>2</v>
      </c>
      <c r="B12" t="str">
        <f>_xlfn.XLOOKUP(C12,ref!$H$2:$H$19,ref!$G$2:$G$19,"not found")</f>
        <v>d004</v>
      </c>
      <c r="C12" t="s">
        <v>135</v>
      </c>
      <c r="D12" t="str">
        <f>_xlfn.XLOOKUP(E12,prod_fun!$B$2:$B$5,prod_fun!$A$2:$A$5,"not found")</f>
        <v>fun002</v>
      </c>
      <c r="E12" t="s">
        <v>782</v>
      </c>
      <c r="F12" t="s">
        <v>836</v>
      </c>
    </row>
    <row r="13" spans="1:6" x14ac:dyDescent="0.2">
      <c r="A13" t="s">
        <v>2</v>
      </c>
      <c r="B13" t="str">
        <f>_xlfn.XLOOKUP(C13,ref!$H$2:$H$19,ref!$G$2:$G$19,"not found")</f>
        <v>d005</v>
      </c>
      <c r="C13" t="s">
        <v>49</v>
      </c>
      <c r="D13" t="str">
        <f>_xlfn.XLOOKUP(E13,prod_fun!$B$2:$B$5,prod_fun!$A$2:$A$5,"not found")</f>
        <v>fun002</v>
      </c>
      <c r="E13" t="s">
        <v>782</v>
      </c>
      <c r="F13" t="s">
        <v>836</v>
      </c>
    </row>
    <row r="14" spans="1:6" x14ac:dyDescent="0.2">
      <c r="A14" t="s">
        <v>2</v>
      </c>
      <c r="B14" t="str">
        <f>_xlfn.XLOOKUP(C14,ref!$H$2:$H$19,ref!$G$2:$G$19,"not found")</f>
        <v>d006</v>
      </c>
      <c r="C14" t="s">
        <v>136</v>
      </c>
      <c r="D14" t="str">
        <f>_xlfn.XLOOKUP(E14,prod_fun!$B$2:$B$5,prod_fun!$A$2:$A$5,"not found")</f>
        <v>fun002</v>
      </c>
      <c r="E14" t="s">
        <v>782</v>
      </c>
      <c r="F14" t="s">
        <v>836</v>
      </c>
    </row>
    <row r="15" spans="1:6" x14ac:dyDescent="0.2">
      <c r="A15" t="s">
        <v>2</v>
      </c>
      <c r="B15" t="str">
        <f>_xlfn.XLOOKUP(C15,ref!$H$2:$H$19,ref!$G$2:$G$19,"not found")</f>
        <v>d007</v>
      </c>
      <c r="C15" t="s">
        <v>137</v>
      </c>
      <c r="D15" t="str">
        <f>_xlfn.XLOOKUP(E15,prod_fun!$B$2:$B$5,prod_fun!$A$2:$A$5,"not found")</f>
        <v>fun002</v>
      </c>
      <c r="E15" t="s">
        <v>782</v>
      </c>
      <c r="F15" t="s">
        <v>836</v>
      </c>
    </row>
    <row r="16" spans="1:6" x14ac:dyDescent="0.2">
      <c r="A16" t="s">
        <v>2</v>
      </c>
      <c r="B16" t="str">
        <f>_xlfn.XLOOKUP(C16,ref!$H$2:$H$19,ref!$G$2:$G$19,"not found")</f>
        <v>d008</v>
      </c>
      <c r="C16" t="s">
        <v>50</v>
      </c>
      <c r="D16" t="str">
        <f>_xlfn.XLOOKUP(E16,prod_fun!$B$2:$B$5,prod_fun!$A$2:$A$5,"not found")</f>
        <v>fun003</v>
      </c>
      <c r="E16" t="s">
        <v>784</v>
      </c>
      <c r="F16" t="s">
        <v>836</v>
      </c>
    </row>
    <row r="17" spans="1:6" x14ac:dyDescent="0.2">
      <c r="A17" t="s">
        <v>2</v>
      </c>
      <c r="B17" t="str">
        <f>_xlfn.XLOOKUP(C17,ref!$H$2:$H$19,ref!$G$2:$G$19,"not found")</f>
        <v>d009</v>
      </c>
      <c r="C17" t="s">
        <v>138</v>
      </c>
      <c r="D17" t="str">
        <f>_xlfn.XLOOKUP(E17,prod_fun!$B$2:$B$5,prod_fun!$A$2:$A$5,"not found")</f>
        <v>fun003</v>
      </c>
      <c r="E17" t="s">
        <v>784</v>
      </c>
      <c r="F17" t="s">
        <v>836</v>
      </c>
    </row>
    <row r="18" spans="1:6" x14ac:dyDescent="0.2">
      <c r="A18" t="s">
        <v>2</v>
      </c>
      <c r="B18" t="str">
        <f>_xlfn.XLOOKUP(C18,ref!$H$2:$H$19,ref!$G$2:$G$19,"not found")</f>
        <v>d008</v>
      </c>
      <c r="C18" t="s">
        <v>50</v>
      </c>
      <c r="D18" t="str">
        <f>_xlfn.XLOOKUP(E18,prod_fun!$B$2:$B$5,prod_fun!$A$2:$A$5,"not found")</f>
        <v>fun004</v>
      </c>
      <c r="E18" t="s">
        <v>786</v>
      </c>
      <c r="F18" t="s">
        <v>837</v>
      </c>
    </row>
    <row r="19" spans="1:6" x14ac:dyDescent="0.2">
      <c r="A19" t="s">
        <v>2</v>
      </c>
      <c r="B19" t="str">
        <f>_xlfn.XLOOKUP(C19,ref!$H$2:$H$19,ref!$G$2:$G$19,"not found")</f>
        <v>d009</v>
      </c>
      <c r="C19" t="s">
        <v>138</v>
      </c>
      <c r="D19" t="str">
        <f>_xlfn.XLOOKUP(E19,prod_fun!$B$2:$B$5,prod_fun!$A$2:$A$5,"not found")</f>
        <v>fun004</v>
      </c>
      <c r="E19" t="s">
        <v>786</v>
      </c>
      <c r="F19" t="s">
        <v>837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C53BE-2D34-2048-AC87-89653DC7807E}">
          <x14:formula1>
            <xm:f>ref!$C$17:$C$21</xm:f>
          </x14:formula1>
          <xm:sqref>F2:F19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234A2-6EAC-2F41-B929-EF3CFA13F04D}">
  <dimension ref="A1:G16"/>
  <sheetViews>
    <sheetView workbookViewId="0">
      <selection activeCell="G10" sqref="G10"/>
    </sheetView>
  </sheetViews>
  <sheetFormatPr baseColWidth="10" defaultRowHeight="16" x14ac:dyDescent="0.2"/>
  <cols>
    <col min="5" max="5" width="13" customWidth="1"/>
    <col min="7" max="7" width="14.33203125" customWidth="1"/>
  </cols>
  <sheetData>
    <row r="1" spans="1:7" x14ac:dyDescent="0.2">
      <c r="A1" t="s">
        <v>814</v>
      </c>
      <c r="B1" s="6" t="s">
        <v>154</v>
      </c>
      <c r="C1" s="6" t="s">
        <v>153</v>
      </c>
      <c r="D1" t="s">
        <v>803</v>
      </c>
      <c r="E1" t="s">
        <v>841</v>
      </c>
      <c r="F1" t="s">
        <v>842</v>
      </c>
      <c r="G1" t="s">
        <v>843</v>
      </c>
    </row>
    <row r="2" spans="1:7" x14ac:dyDescent="0.2">
      <c r="A2" t="s">
        <v>815</v>
      </c>
      <c r="B2" s="6" t="s">
        <v>155</v>
      </c>
      <c r="C2" s="7" t="s">
        <v>170</v>
      </c>
      <c r="D2" t="s">
        <v>830</v>
      </c>
      <c r="E2">
        <v>20000</v>
      </c>
      <c r="F2">
        <v>50</v>
      </c>
      <c r="G2">
        <f>E2/(1000/F2)</f>
        <v>1000</v>
      </c>
    </row>
    <row r="3" spans="1:7" x14ac:dyDescent="0.2">
      <c r="A3" t="s">
        <v>816</v>
      </c>
      <c r="B3" s="6" t="s">
        <v>155</v>
      </c>
      <c r="C3" s="7" t="s">
        <v>35</v>
      </c>
      <c r="D3" t="s">
        <v>830</v>
      </c>
      <c r="E3">
        <v>23000</v>
      </c>
      <c r="F3">
        <v>50</v>
      </c>
      <c r="G3">
        <f t="shared" ref="G3:G16" si="0">E3/(1000/F3)</f>
        <v>1150</v>
      </c>
    </row>
    <row r="4" spans="1:7" x14ac:dyDescent="0.2">
      <c r="A4" t="s">
        <v>817</v>
      </c>
      <c r="B4" s="6" t="s">
        <v>155</v>
      </c>
      <c r="C4" s="6" t="s">
        <v>34</v>
      </c>
      <c r="D4" t="s">
        <v>831</v>
      </c>
      <c r="E4">
        <v>3000</v>
      </c>
      <c r="F4">
        <v>50</v>
      </c>
      <c r="G4">
        <f t="shared" si="0"/>
        <v>150</v>
      </c>
    </row>
    <row r="5" spans="1:7" x14ac:dyDescent="0.2">
      <c r="A5" t="s">
        <v>818</v>
      </c>
      <c r="B5" s="6" t="s">
        <v>155</v>
      </c>
      <c r="C5" s="7" t="s">
        <v>171</v>
      </c>
      <c r="D5" t="s">
        <v>830</v>
      </c>
      <c r="E5">
        <v>25000</v>
      </c>
      <c r="F5">
        <v>50</v>
      </c>
      <c r="G5">
        <f t="shared" si="0"/>
        <v>1250</v>
      </c>
    </row>
    <row r="6" spans="1:7" x14ac:dyDescent="0.2">
      <c r="A6" t="s">
        <v>819</v>
      </c>
      <c r="B6" s="6" t="s">
        <v>155</v>
      </c>
      <c r="C6" s="7" t="s">
        <v>157</v>
      </c>
      <c r="D6" t="s">
        <v>830</v>
      </c>
      <c r="E6">
        <v>24000</v>
      </c>
      <c r="F6">
        <v>50</v>
      </c>
      <c r="G6">
        <f t="shared" si="0"/>
        <v>1200</v>
      </c>
    </row>
    <row r="7" spans="1:7" x14ac:dyDescent="0.2">
      <c r="A7" t="s">
        <v>820</v>
      </c>
      <c r="B7" s="6" t="s">
        <v>156</v>
      </c>
      <c r="C7" s="7" t="s">
        <v>157</v>
      </c>
      <c r="D7" t="s">
        <v>830</v>
      </c>
      <c r="E7">
        <v>24000</v>
      </c>
      <c r="F7">
        <v>50</v>
      </c>
      <c r="G7">
        <f t="shared" si="0"/>
        <v>1200</v>
      </c>
    </row>
    <row r="8" spans="1:7" x14ac:dyDescent="0.2">
      <c r="A8" t="s">
        <v>821</v>
      </c>
      <c r="B8" s="6" t="s">
        <v>158</v>
      </c>
      <c r="C8" s="7" t="s">
        <v>34</v>
      </c>
      <c r="D8" t="s">
        <v>830</v>
      </c>
      <c r="E8">
        <v>24000</v>
      </c>
      <c r="F8">
        <v>50</v>
      </c>
      <c r="G8">
        <f t="shared" si="0"/>
        <v>1200</v>
      </c>
    </row>
    <row r="9" spans="1:7" x14ac:dyDescent="0.2">
      <c r="A9" t="s">
        <v>822</v>
      </c>
      <c r="B9" s="6" t="s">
        <v>158</v>
      </c>
      <c r="C9" s="7" t="s">
        <v>36</v>
      </c>
      <c r="D9" t="s">
        <v>830</v>
      </c>
      <c r="E9">
        <v>24000</v>
      </c>
      <c r="F9">
        <v>50</v>
      </c>
      <c r="G9">
        <f t="shared" si="0"/>
        <v>1200</v>
      </c>
    </row>
    <row r="10" spans="1:7" x14ac:dyDescent="0.2">
      <c r="A10" t="s">
        <v>823</v>
      </c>
      <c r="B10" s="6" t="s">
        <v>158</v>
      </c>
      <c r="C10" s="7" t="s">
        <v>159</v>
      </c>
      <c r="D10" t="s">
        <v>830</v>
      </c>
      <c r="E10">
        <v>24000</v>
      </c>
      <c r="F10">
        <v>50</v>
      </c>
      <c r="G10">
        <f t="shared" si="0"/>
        <v>1200</v>
      </c>
    </row>
    <row r="11" spans="1:7" x14ac:dyDescent="0.2">
      <c r="A11" t="s">
        <v>824</v>
      </c>
      <c r="B11" s="6" t="s">
        <v>160</v>
      </c>
      <c r="C11" s="7" t="s">
        <v>161</v>
      </c>
      <c r="D11" t="s">
        <v>830</v>
      </c>
      <c r="E11">
        <v>24000</v>
      </c>
      <c r="F11">
        <v>50</v>
      </c>
      <c r="G11">
        <f t="shared" si="0"/>
        <v>1200</v>
      </c>
    </row>
    <row r="12" spans="1:7" x14ac:dyDescent="0.2">
      <c r="A12" t="s">
        <v>825</v>
      </c>
      <c r="B12" s="6" t="s">
        <v>162</v>
      </c>
      <c r="C12" s="7" t="s">
        <v>163</v>
      </c>
      <c r="D12" t="s">
        <v>830</v>
      </c>
      <c r="E12">
        <v>26000</v>
      </c>
      <c r="F12">
        <v>50</v>
      </c>
      <c r="G12">
        <f t="shared" si="0"/>
        <v>1300</v>
      </c>
    </row>
    <row r="13" spans="1:7" x14ac:dyDescent="0.2">
      <c r="A13" t="s">
        <v>826</v>
      </c>
      <c r="B13" s="6" t="s">
        <v>166</v>
      </c>
      <c r="C13" s="7" t="s">
        <v>164</v>
      </c>
      <c r="D13" t="s">
        <v>830</v>
      </c>
      <c r="E13">
        <v>24000</v>
      </c>
      <c r="F13">
        <v>50</v>
      </c>
      <c r="G13">
        <f t="shared" si="0"/>
        <v>1200</v>
      </c>
    </row>
    <row r="14" spans="1:7" x14ac:dyDescent="0.2">
      <c r="A14" t="s">
        <v>827</v>
      </c>
      <c r="B14" s="6" t="s">
        <v>167</v>
      </c>
      <c r="C14" s="7" t="s">
        <v>165</v>
      </c>
      <c r="D14" t="s">
        <v>830</v>
      </c>
      <c r="E14">
        <v>24000</v>
      </c>
      <c r="F14">
        <v>50</v>
      </c>
      <c r="G14">
        <f t="shared" si="0"/>
        <v>1200</v>
      </c>
    </row>
    <row r="15" spans="1:7" x14ac:dyDescent="0.2">
      <c r="A15" t="s">
        <v>828</v>
      </c>
      <c r="B15" s="6" t="s">
        <v>168</v>
      </c>
      <c r="C15" s="7" t="s">
        <v>37</v>
      </c>
      <c r="D15" t="s">
        <v>830</v>
      </c>
      <c r="E15">
        <v>24000</v>
      </c>
      <c r="F15">
        <v>50</v>
      </c>
      <c r="G15">
        <f t="shared" si="0"/>
        <v>1200</v>
      </c>
    </row>
    <row r="16" spans="1:7" x14ac:dyDescent="0.2">
      <c r="A16" t="s">
        <v>829</v>
      </c>
      <c r="B16" s="6" t="s">
        <v>169</v>
      </c>
      <c r="C16" s="7" t="s">
        <v>36</v>
      </c>
      <c r="D16" t="s">
        <v>830</v>
      </c>
      <c r="E16">
        <v>24000</v>
      </c>
      <c r="F16">
        <v>50</v>
      </c>
      <c r="G16">
        <f t="shared" si="0"/>
        <v>1200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CA528-3B32-2448-BB6D-6CC77DBC2FD2}">
          <x14:formula1>
            <xm:f>ref!$A$17:$A$19</xm:f>
          </x14:formula1>
          <xm:sqref>D2:D16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M18"/>
  <sheetViews>
    <sheetView zoomScale="110" zoomScaleNormal="110" workbookViewId="0">
      <selection activeCell="C5" sqref="C5"/>
    </sheetView>
  </sheetViews>
  <sheetFormatPr baseColWidth="10" defaultRowHeight="16" x14ac:dyDescent="0.2"/>
  <cols>
    <col min="4" max="4" width="14.6640625" customWidth="1"/>
    <col min="5" max="5" width="11.6640625" customWidth="1"/>
    <col min="6" max="6" width="14.6640625" customWidth="1"/>
    <col min="7" max="7" width="16.83203125" customWidth="1"/>
  </cols>
  <sheetData>
    <row r="1" spans="1:13" x14ac:dyDescent="0.2">
      <c r="A1" t="s">
        <v>0</v>
      </c>
      <c r="B1" t="s">
        <v>791</v>
      </c>
      <c r="C1" t="s">
        <v>814</v>
      </c>
      <c r="D1" t="s">
        <v>153</v>
      </c>
      <c r="E1" t="s">
        <v>154</v>
      </c>
      <c r="F1" t="s">
        <v>762</v>
      </c>
      <c r="G1" s="1" t="s">
        <v>3</v>
      </c>
      <c r="H1" t="s">
        <v>26</v>
      </c>
    </row>
    <row r="2" spans="1:13" x14ac:dyDescent="0.2">
      <c r="A2" t="s">
        <v>2</v>
      </c>
      <c r="B2" t="s">
        <v>793</v>
      </c>
      <c r="C2" t="s">
        <v>821</v>
      </c>
      <c r="D2" s="1" t="s">
        <v>34</v>
      </c>
      <c r="E2" t="s">
        <v>158</v>
      </c>
      <c r="F2" s="1" t="s">
        <v>764</v>
      </c>
      <c r="G2" s="1" t="s">
        <v>285</v>
      </c>
      <c r="H2" s="1" t="s">
        <v>287</v>
      </c>
    </row>
    <row r="3" spans="1:13" x14ac:dyDescent="0.2">
      <c r="A3" t="s">
        <v>2</v>
      </c>
      <c r="B3" t="s">
        <v>793</v>
      </c>
      <c r="C3" t="s">
        <v>817</v>
      </c>
      <c r="D3" s="1" t="s">
        <v>34</v>
      </c>
      <c r="E3" t="s">
        <v>155</v>
      </c>
      <c r="F3" s="1" t="s">
        <v>764</v>
      </c>
      <c r="G3" s="1" t="s">
        <v>285</v>
      </c>
      <c r="H3" s="1" t="s">
        <v>287</v>
      </c>
    </row>
    <row r="4" spans="1:13" x14ac:dyDescent="0.2">
      <c r="A4" t="s">
        <v>2</v>
      </c>
      <c r="B4" t="s">
        <v>794</v>
      </c>
      <c r="C4" t="s">
        <v>822</v>
      </c>
      <c r="D4" s="1" t="s">
        <v>36</v>
      </c>
      <c r="E4" t="s">
        <v>158</v>
      </c>
      <c r="F4" s="1" t="s">
        <v>764</v>
      </c>
      <c r="G4" s="1" t="s">
        <v>286</v>
      </c>
      <c r="H4" s="1" t="s">
        <v>287</v>
      </c>
    </row>
    <row r="5" spans="1:13" x14ac:dyDescent="0.2">
      <c r="A5" t="s">
        <v>2</v>
      </c>
      <c r="B5" t="s">
        <v>794</v>
      </c>
      <c r="C5" t="s">
        <v>816</v>
      </c>
      <c r="D5" s="1" t="s">
        <v>35</v>
      </c>
      <c r="E5" t="s">
        <v>155</v>
      </c>
      <c r="F5" s="1" t="s">
        <v>764</v>
      </c>
      <c r="G5" s="1" t="s">
        <v>286</v>
      </c>
      <c r="H5" s="1" t="s">
        <v>287</v>
      </c>
      <c r="M5" s="1"/>
    </row>
    <row r="6" spans="1:13" x14ac:dyDescent="0.2">
      <c r="A6" t="s">
        <v>2</v>
      </c>
      <c r="B6" t="s">
        <v>794</v>
      </c>
      <c r="C6" t="s">
        <v>818</v>
      </c>
      <c r="D6" s="1" t="s">
        <v>171</v>
      </c>
      <c r="E6" t="s">
        <v>155</v>
      </c>
      <c r="F6" s="1" t="s">
        <v>764</v>
      </c>
      <c r="G6" s="1" t="s">
        <v>286</v>
      </c>
      <c r="H6" s="1" t="s">
        <v>287</v>
      </c>
      <c r="M6" s="1"/>
    </row>
    <row r="7" spans="1:13" x14ac:dyDescent="0.2">
      <c r="A7" t="s">
        <v>2</v>
      </c>
      <c r="B7" t="s">
        <v>794</v>
      </c>
      <c r="C7" t="s">
        <v>819</v>
      </c>
      <c r="D7" s="1" t="s">
        <v>157</v>
      </c>
      <c r="E7" t="s">
        <v>155</v>
      </c>
      <c r="F7" s="1" t="s">
        <v>764</v>
      </c>
      <c r="G7" s="1" t="s">
        <v>286</v>
      </c>
      <c r="H7" s="1" t="s">
        <v>287</v>
      </c>
      <c r="M7" s="1"/>
    </row>
    <row r="8" spans="1:13" x14ac:dyDescent="0.2">
      <c r="M8" s="1"/>
    </row>
    <row r="10" spans="1:13" x14ac:dyDescent="0.2">
      <c r="K10" s="6"/>
      <c r="L10" s="6"/>
      <c r="M10" s="6"/>
    </row>
    <row r="11" spans="1:13" x14ac:dyDescent="0.2">
      <c r="E11" s="1"/>
      <c r="K11" s="6"/>
      <c r="L11" s="6"/>
      <c r="M11" s="6"/>
    </row>
    <row r="12" spans="1:13" x14ac:dyDescent="0.2">
      <c r="K12" s="6"/>
      <c r="L12" s="6"/>
      <c r="M12" s="7"/>
    </row>
    <row r="16" spans="1:13" x14ac:dyDescent="0.2">
      <c r="J16" s="1"/>
    </row>
    <row r="17" spans="10:10" x14ac:dyDescent="0.2">
      <c r="J17" s="1"/>
    </row>
    <row r="18" spans="10:10" x14ac:dyDescent="0.2">
      <c r="J18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5F7961-6FAA-4B4B-9C06-20F9DCDC8B8C}">
          <x14:formula1>
            <xm:f>crop_fer!$C$2:$C$4</xm:f>
          </x14:formula1>
          <xm:sqref>B2:B7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B5"/>
  <sheetViews>
    <sheetView workbookViewId="0">
      <selection activeCell="B5" sqref="B5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38</v>
      </c>
    </row>
    <row r="3" spans="1:2" x14ac:dyDescent="0.2">
      <c r="A3" t="s">
        <v>194</v>
      </c>
      <c r="B3" t="s">
        <v>195</v>
      </c>
    </row>
    <row r="4" spans="1:2" x14ac:dyDescent="0.2">
      <c r="A4" t="s">
        <v>196</v>
      </c>
      <c r="B4" t="s">
        <v>197</v>
      </c>
    </row>
    <row r="5" spans="1:2" x14ac:dyDescent="0.2">
      <c r="A5" t="s">
        <v>212</v>
      </c>
      <c r="B5" t="s">
        <v>213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87063-B1C4-A346-912B-998BFFE13FA3}">
  <dimension ref="A1:J101"/>
  <sheetViews>
    <sheetView workbookViewId="0">
      <selection activeCell="B13" sqref="B13"/>
    </sheetView>
  </sheetViews>
  <sheetFormatPr baseColWidth="10" defaultRowHeight="16" x14ac:dyDescent="0.2"/>
  <cols>
    <col min="1" max="1" width="18" style="10" customWidth="1"/>
    <col min="5" max="5" width="24.1640625" customWidth="1"/>
    <col min="6" max="6" width="13.33203125" customWidth="1"/>
    <col min="7" max="7" width="15.6640625" customWidth="1"/>
    <col min="9" max="9" width="10.5" customWidth="1"/>
  </cols>
  <sheetData>
    <row r="1" spans="1:10" x14ac:dyDescent="0.2">
      <c r="A1" t="s">
        <v>1048</v>
      </c>
      <c r="B1" t="s">
        <v>1049</v>
      </c>
      <c r="C1" t="s">
        <v>1050</v>
      </c>
      <c r="D1" t="s">
        <v>761</v>
      </c>
      <c r="E1" t="s">
        <v>28</v>
      </c>
      <c r="F1" t="s">
        <v>759</v>
      </c>
      <c r="G1" t="s">
        <v>760</v>
      </c>
      <c r="H1" t="s">
        <v>762</v>
      </c>
      <c r="I1" s="6" t="s">
        <v>838</v>
      </c>
      <c r="J1" s="9" t="s">
        <v>1054</v>
      </c>
    </row>
    <row r="2" spans="1:10" x14ac:dyDescent="0.2">
      <c r="A2" s="10">
        <v>45881</v>
      </c>
      <c r="B2" t="s">
        <v>799</v>
      </c>
      <c r="C2" t="s">
        <v>1051</v>
      </c>
      <c r="D2" t="str">
        <f>IF(OR($B2="",$J2=""),"",IFERROR(INDEX(CHOOSE($J2,prod_her!$A:$J,prod_ins!$A:$J,prod_fun!$A:$J,prod_fer!$A:$L),MATCH($B2,CHOOSE($J2,prod_her!$A:$A,prod_ins!$A:$A,prod_fun!$A:$A,prod_fer!$A:$A),0),MATCH(D$1,CHOOSE($J2,prod_her!$1:$1,prod_ins!$1:$1,prod_fun!$1:$1,prod_fer!$1:$1),0)),""))</f>
        <v>เซนเที่ยม</v>
      </c>
      <c r="E2" t="str">
        <f>IF(OR($B2="",$J2=""),"",IFERROR(INDEX(CHOOSE($J2,prod_her!$A:$J,prod_ins!$A:$J,prod_fun!$A:$J,prod_fer!$A:$L),MATCH($B2,CHOOSE($J2,prod_her!$A:$A,prod_ins!$A:$A,prod_fun!$A:$A,prod_fer!$A:$A),0),MATCH(E$1,CHOOSE($J2,prod_her!$1:$1,prod_ins!$1:$1,prod_fun!$1:$1,prod_fer!$1:$1),0)),""))</f>
        <v>clomazone+propanil</v>
      </c>
      <c r="F2" t="str">
        <f>IF(OR($B2="",$J2=""),"",IFERROR(INDEX(CHOOSE($J2,prod_her!$A:$J,prod_ins!$A:$J,prod_fun!$A:$J,prod_fer!$A:$L),MATCH($B2,CHOOSE($J2,prod_her!$A:$A,prod_ins!$A:$A,prod_fun!$A:$A,prod_fer!$A:$A),0),MATCH(F$1,CHOOSE($J2,prod_her!$1:$1,prod_ins!$1:$1,prod_fun!$1:$1,prod_fer!$1:$1),0)),""))</f>
        <v>12%+27% W/V</v>
      </c>
      <c r="G2" t="str">
        <f>IF(OR($B2="",$J2=""),"",IFERROR(INDEX(CHOOSE($J2,prod_her!$A:$J,prod_ins!$A:$J,prod_fun!$A:$J,prod_fer!$A:$L),MATCH($B2,CHOOSE($J2,prod_her!$A:$A,prod_ins!$A:$A,prod_fun!$A:$A,prod_fer!$A:$A),0),MATCH(G$1,CHOOSE($J2,prod_her!$1:$1,prod_ins!$1:$1,prod_fun!$1:$1,prod_fer!$1:$1),0)),""))</f>
        <v>EC</v>
      </c>
      <c r="H2" s="6" t="str">
        <f>IF(OR($B2="",$J2=""),"",IFERROR(INDEX(CHOOSE($J2,prod_her!$A:$J,prod_ins!$A:$J,prod_fun!$A:$J,prod_fer!$A:$L),MATCH($B2,CHOOSE($J2,prod_her!$A:$A,prod_ins!$A:$A,prod_fun!$A:$A,prod_fer!$A:$A),0),MATCH(H$1,CHOOSE($J2,prod_her!$1:$1,prod_ins!$1:$1,prod_fun!$1:$1,prod_fer!$1:$1),0)),""))</f>
        <v>SHK</v>
      </c>
      <c r="I2" s="6">
        <v>500</v>
      </c>
      <c r="J2" s="8">
        <f>IFERROR(MATCH($C2,{"herbicide";"insecticide";"fungicide";"fertilizer"},0),"")</f>
        <v>1</v>
      </c>
    </row>
    <row r="3" spans="1:10" x14ac:dyDescent="0.2">
      <c r="A3" s="10">
        <v>45881</v>
      </c>
      <c r="B3" t="s">
        <v>800</v>
      </c>
      <c r="C3" t="s">
        <v>1051</v>
      </c>
      <c r="D3" t="str">
        <f>IF(OR($B3="",$J3=""),"",IFERROR(INDEX(CHOOSE($J3,prod_her!$A:$J,prod_ins!$A:$J,prod_fun!$A:$J,prod_fer!$A:$L),MATCH($B3,CHOOSE($J3,prod_her!$A:$A,prod_ins!$A:$A,prod_fun!$A:$A,prod_fer!$A:$A),0),MATCH(D$1,CHOOSE($J3,prod_her!$1:$1,prod_ins!$1:$1,prod_fun!$1:$1,prod_fer!$1:$1),0)),""))</f>
        <v>frontier-p</v>
      </c>
      <c r="E3" t="str">
        <f>IF(OR($B3="",$J3=""),"",IFERROR(INDEX(CHOOSE($J3,prod_her!$A:$J,prod_ins!$A:$J,prod_fun!$A:$J,prod_fer!$A:$L),MATCH($B3,CHOOSE($J3,prod_her!$A:$A,prod_ins!$A:$A,prod_fun!$A:$A,prod_fer!$A:$A),0),MATCH(E$1,CHOOSE($J3,prod_her!$1:$1,prod_ins!$1:$1,prod_fun!$1:$1,prod_fer!$1:$1),0)),""))</f>
        <v>dimethenamid-p</v>
      </c>
      <c r="F3" t="str">
        <f>IF(OR($B3="",$J3=""),"",IFERROR(INDEX(CHOOSE($J3,prod_her!$A:$J,prod_ins!$A:$J,prod_fun!$A:$J,prod_fer!$A:$L),MATCH($B3,CHOOSE($J3,prod_her!$A:$A,prod_ins!$A:$A,prod_fun!$A:$A,prod_fer!$A:$A),0),MATCH(F$1,CHOOSE($J3,prod_her!$1:$1,prod_ins!$1:$1,prod_fun!$1:$1,prod_fer!$1:$1),0)),""))</f>
        <v>72% W/V</v>
      </c>
      <c r="G3" t="str">
        <f>IF(OR($B3="",$J3=""),"",IFERROR(INDEX(CHOOSE($J3,prod_her!$A:$J,prod_ins!$A:$J,prod_fun!$A:$J,prod_fer!$A:$L),MATCH($B3,CHOOSE($J3,prod_her!$A:$A,prod_ins!$A:$A,prod_fun!$A:$A,prod_fer!$A:$A),0),MATCH(G$1,CHOOSE($J3,prod_her!$1:$1,prod_ins!$1:$1,prod_fun!$1:$1,prod_fer!$1:$1),0)),""))</f>
        <v>EC</v>
      </c>
      <c r="H3" s="6" t="str">
        <f>IF(OR($B3="",$J3=""),"",IFERROR(INDEX(CHOOSE($J3,prod_her!$A:$J,prod_ins!$A:$J,prod_fun!$A:$J,prod_fer!$A:$L),MATCH($B3,CHOOSE($J3,prod_her!$A:$A,prod_ins!$A:$A,prod_fun!$A:$A,prod_fer!$A:$A),0),MATCH(H$1,CHOOSE($J3,prod_her!$1:$1,prod_ins!$1:$1,prod_fun!$1:$1,prod_fer!$1:$1),0)),""))</f>
        <v>SHK</v>
      </c>
      <c r="I3" s="6">
        <v>600</v>
      </c>
      <c r="J3" s="8">
        <f>IFERROR(MATCH($C3,{"herbicide";"insecticide";"fungicide";"fertilizer"},0),"")</f>
        <v>1</v>
      </c>
    </row>
    <row r="4" spans="1:10" x14ac:dyDescent="0.2">
      <c r="A4" s="10">
        <v>45881</v>
      </c>
      <c r="B4" t="s">
        <v>801</v>
      </c>
      <c r="C4" t="s">
        <v>1051</v>
      </c>
      <c r="D4" t="str">
        <f>IF(OR($B4="",$J4=""),"",IFERROR(INDEX(CHOOSE($J4,prod_her!$A:$J,prod_ins!$A:$J,prod_fun!$A:$J,prod_fer!$A:$L),MATCH($B4,CHOOSE($J4,prod_her!$A:$A,prod_ins!$A:$A,prod_fun!$A:$A,prod_fer!$A:$A),0),MATCH(D$1,CHOOSE($J4,prod_her!$1:$1,prod_ins!$1:$1,prod_fun!$1:$1,prod_fer!$1:$1),0)),""))</f>
        <v>bramus</v>
      </c>
      <c r="E4" t="str">
        <f>IF(OR($B4="",$J4=""),"",IFERROR(INDEX(CHOOSE($J4,prod_her!$A:$J,prod_ins!$A:$J,prod_fun!$A:$J,prod_fer!$A:$L),MATCH($B4,CHOOSE($J4,prod_her!$A:$A,prod_ins!$A:$A,prod_fun!$A:$A,prod_fer!$A:$A),0),MATCH(E$1,CHOOSE($J4,prod_her!$1:$1,prod_ins!$1:$1,prod_fun!$1:$1,prod_fer!$1:$1),0)),""))</f>
        <v>bentazone</v>
      </c>
      <c r="F4" t="str">
        <f>IF(OR($B4="",$J4=""),"",IFERROR(INDEX(CHOOSE($J4,prod_her!$A:$J,prod_ins!$A:$J,prod_fun!$A:$J,prod_fer!$A:$L),MATCH($B4,CHOOSE($J4,prod_her!$A:$A,prod_ins!$A:$A,prod_fun!$A:$A,prod_fer!$A:$A),0),MATCH(F$1,CHOOSE($J4,prod_her!$1:$1,prod_ins!$1:$1,prod_fun!$1:$1,prod_fer!$1:$1),0)),""))</f>
        <v>48% W/V</v>
      </c>
      <c r="G4" t="str">
        <f>IF(OR($B4="",$J4=""),"",IFERROR(INDEX(CHOOSE($J4,prod_her!$A:$J,prod_ins!$A:$J,prod_fun!$A:$J,prod_fer!$A:$L),MATCH($B4,CHOOSE($J4,prod_her!$A:$A,prod_ins!$A:$A,prod_fun!$A:$A,prod_fer!$A:$A),0),MATCH(G$1,CHOOSE($J4,prod_her!$1:$1,prod_ins!$1:$1,prod_fun!$1:$1,prod_fer!$1:$1),0)),""))</f>
        <v>EC</v>
      </c>
      <c r="H4" s="6" t="str">
        <f>IF(OR($B4="",$J4=""),"",IFERROR(INDEX(CHOOSE($J4,prod_her!$A:$J,prod_ins!$A:$J,prod_fun!$A:$J,prod_fer!$A:$L),MATCH($B4,CHOOSE($J4,prod_her!$A:$A,prod_ins!$A:$A,prod_fun!$A:$A,prod_fer!$A:$A),0),MATCH(H$1,CHOOSE($J4,prod_her!$1:$1,prod_ins!$1:$1,prod_fun!$1:$1,prod_fer!$1:$1),0)),""))</f>
        <v>SHK</v>
      </c>
      <c r="I4" s="6">
        <v>900</v>
      </c>
      <c r="J4" s="8">
        <f>IFERROR(MATCH($C4,{"herbicide";"insecticide";"fungicide";"fertilizer"},0),"")</f>
        <v>1</v>
      </c>
    </row>
    <row r="5" spans="1:10" x14ac:dyDescent="0.2">
      <c r="A5" s="10">
        <v>45881</v>
      </c>
      <c r="B5" t="s">
        <v>804</v>
      </c>
      <c r="C5" t="s">
        <v>1052</v>
      </c>
      <c r="D5" t="str">
        <f>IF(OR($B5="",$J5=""),"",IFERROR(INDEX(CHOOSE($J5,prod_her!$A:$J,prod_ins!$A:$J,prod_fun!$A:$J,prod_fer!$A:$L),MATCH($B5,CHOOSE($J5,prod_her!$A:$A,prod_ins!$A:$A,prod_fun!$A:$A,prod_fer!$A:$A),0),MATCH(D$1,CHOOSE($J5,prod_her!$1:$1,prod_ins!$1:$1,prod_fun!$1:$1,prod_fer!$1:$1),0)),""))</f>
        <v>คิวเทอร์</v>
      </c>
      <c r="E5" t="str">
        <f>IF(OR($B5="",$J5=""),"",IFERROR(INDEX(CHOOSE($J5,prod_her!$A:$J,prod_ins!$A:$J,prod_fun!$A:$J,prod_fer!$A:$L),MATCH($B5,CHOOSE($J5,prod_her!$A:$A,prod_ins!$A:$A,prod_fun!$A:$A,prod_fer!$A:$A),0),MATCH(E$1,CHOOSE($J5,prod_her!$1:$1,prod_ins!$1:$1,prod_fun!$1:$1,prod_fer!$1:$1),0)),""))</f>
        <v>imidacloprid+lambda-cyhalothrin</v>
      </c>
      <c r="F5" t="str">
        <f>IF(OR($B5="",$J5=""),"",IFERROR(INDEX(CHOOSE($J5,prod_her!$A:$J,prod_ins!$A:$J,prod_fun!$A:$J,prod_fer!$A:$L),MATCH($B5,CHOOSE($J5,prod_her!$A:$A,prod_ins!$A:$A,prod_fun!$A:$A,prod_fer!$A:$A),0),MATCH(F$1,CHOOSE($J5,prod_her!$1:$1,prod_ins!$1:$1,prod_fun!$1:$1,prod_fer!$1:$1),0)),""))</f>
        <v>16%+12% W/V</v>
      </c>
      <c r="G5" t="str">
        <f>IF(OR($B5="",$J5=""),"",IFERROR(INDEX(CHOOSE($J5,prod_her!$A:$J,prod_ins!$A:$J,prod_fun!$A:$J,prod_fer!$A:$L),MATCH($B5,CHOOSE($J5,prod_her!$A:$A,prod_ins!$A:$A,prod_fun!$A:$A,prod_fer!$A:$A),0),MATCH(G$1,CHOOSE($J5,prod_her!$1:$1,prod_ins!$1:$1,prod_fun!$1:$1,prod_fer!$1:$1),0)),""))</f>
        <v>SC</v>
      </c>
      <c r="H5" s="6" t="str">
        <f>IF(OR($B5="",$J5=""),"",IFERROR(INDEX(CHOOSE($J5,prod_her!$A:$J,prod_ins!$A:$J,prod_fun!$A:$J,prod_fer!$A:$L),MATCH($B5,CHOOSE($J5,prod_her!$A:$A,prod_ins!$A:$A,prod_fun!$A:$A,prod_fer!$A:$A),0),MATCH(H$1,CHOOSE($J5,prod_her!$1:$1,prod_ins!$1:$1,prod_fun!$1:$1,prod_fer!$1:$1),0)),""))</f>
        <v>SHK</v>
      </c>
      <c r="I5" s="6">
        <v>590</v>
      </c>
      <c r="J5" s="8">
        <f>IFERROR(MATCH($C5,{"herbicide";"insecticide";"fungicide";"fertilizer"},0),"")</f>
        <v>2</v>
      </c>
    </row>
    <row r="6" spans="1:10" x14ac:dyDescent="0.2">
      <c r="A6" s="10">
        <v>45881</v>
      </c>
      <c r="B6" t="s">
        <v>805</v>
      </c>
      <c r="C6" t="s">
        <v>1052</v>
      </c>
      <c r="D6" t="str">
        <f>IF(OR($B6="",$J6=""),"",IFERROR(INDEX(CHOOSE($J6,prod_her!$A:$J,prod_ins!$A:$J,prod_fun!$A:$J,prod_fer!$A:$L),MATCH($B6,CHOOSE($J6,prod_her!$A:$A,prod_ins!$A:$A,prod_fun!$A:$A,prod_fer!$A:$A),0),MATCH(D$1,CHOOSE($J6,prod_her!$1:$1,prod_ins!$1:$1,prod_fun!$1:$1,prod_fer!$1:$1),0)),""))</f>
        <v>โดรนพลัส</v>
      </c>
      <c r="E6" t="str">
        <f>IF(OR($B6="",$J6=""),"",IFERROR(INDEX(CHOOSE($J6,prod_her!$A:$J,prod_ins!$A:$J,prod_fun!$A:$J,prod_fer!$A:$L),MATCH($B6,CHOOSE($J6,prod_her!$A:$A,prod_ins!$A:$A,prod_fun!$A:$A,prod_fer!$A:$A),0),MATCH(E$1,CHOOSE($J6,prod_her!$1:$1,prod_ins!$1:$1,prod_fun!$1:$1,prod_fer!$1:$1),0)),""))</f>
        <v>profenofos+lufenuron</v>
      </c>
      <c r="F6" t="str">
        <f>IF(OR($B6="",$J6=""),"",IFERROR(INDEX(CHOOSE($J6,prod_her!$A:$J,prod_ins!$A:$J,prod_fun!$A:$J,prod_fer!$A:$L),MATCH($B6,CHOOSE($J6,prod_her!$A:$A,prod_ins!$A:$A,prod_fun!$A:$A,prod_fer!$A:$A),0),MATCH(F$1,CHOOSE($J6,prod_her!$1:$1,prod_ins!$1:$1,prod_fun!$1:$1,prod_fer!$1:$1),0)),""))</f>
        <v>50%+5% W/V</v>
      </c>
      <c r="G6" t="str">
        <f>IF(OR($B6="",$J6=""),"",IFERROR(INDEX(CHOOSE($J6,prod_her!$A:$J,prod_ins!$A:$J,prod_fun!$A:$J,prod_fer!$A:$L),MATCH($B6,CHOOSE($J6,prod_her!$A:$A,prod_ins!$A:$A,prod_fun!$A:$A,prod_fer!$A:$A),0),MATCH(G$1,CHOOSE($J6,prod_her!$1:$1,prod_ins!$1:$1,prod_fun!$1:$1,prod_fer!$1:$1),0)),""))</f>
        <v>EC</v>
      </c>
      <c r="H6" s="6" t="str">
        <f>IF(OR($B6="",$J6=""),"",IFERROR(INDEX(CHOOSE($J6,prod_her!$A:$J,prod_ins!$A:$J,prod_fun!$A:$J,prod_fer!$A:$L),MATCH($B6,CHOOSE($J6,prod_her!$A:$A,prod_ins!$A:$A,prod_fun!$A:$A,prod_fer!$A:$A),0),MATCH(H$1,CHOOSE($J6,prod_her!$1:$1,prod_ins!$1:$1,prod_fun!$1:$1,prod_fer!$1:$1),0)),""))</f>
        <v>SHK</v>
      </c>
      <c r="I6" s="6">
        <v>590</v>
      </c>
      <c r="J6" s="8">
        <f>IFERROR(MATCH($C6,{"herbicide";"insecticide";"fungicide";"fertilizer"},0),"")</f>
        <v>2</v>
      </c>
    </row>
    <row r="7" spans="1:10" x14ac:dyDescent="0.2">
      <c r="A7" s="10">
        <v>45881</v>
      </c>
      <c r="B7" t="s">
        <v>806</v>
      </c>
      <c r="C7" t="s">
        <v>1052</v>
      </c>
      <c r="D7" t="str">
        <f>IF(OR($B7="",$J7=""),"",IFERROR(INDEX(CHOOSE($J7,prod_her!$A:$J,prod_ins!$A:$J,prod_fun!$A:$J,prod_fer!$A:$L),MATCH($B7,CHOOSE($J7,prod_her!$A:$A,prod_ins!$A:$A,prod_fun!$A:$A,prod_fer!$A:$A),0),MATCH(D$1,CHOOSE($J7,prod_her!$1:$1,prod_ins!$1:$1,prod_fun!$1:$1,prod_fer!$1:$1),0)),""))</f>
        <v>ออสเรียม</v>
      </c>
      <c r="E7" t="str">
        <f>IF(OR($B7="",$J7=""),"",IFERROR(INDEX(CHOOSE($J7,prod_her!$A:$J,prod_ins!$A:$J,prod_fun!$A:$J,prod_fer!$A:$L),MATCH($B7,CHOOSE($J7,prod_her!$A:$A,prod_ins!$A:$A,prod_fun!$A:$A,prod_fer!$A:$A),0),MATCH(E$1,CHOOSE($J7,prod_her!$1:$1,prod_ins!$1:$1,prod_fun!$1:$1,prod_fer!$1:$1),0)),""))</f>
        <v>emamectin benzoate+lufenuron</v>
      </c>
      <c r="F7" t="str">
        <f>IF(OR($B7="",$J7=""),"",IFERROR(INDEX(CHOOSE($J7,prod_her!$A:$J,prod_ins!$A:$J,prod_fun!$A:$J,prod_fer!$A:$L),MATCH($B7,CHOOSE($J7,prod_her!$A:$A,prod_ins!$A:$A,prod_fun!$A:$A,prod_fer!$A:$A),0),MATCH(F$1,CHOOSE($J7,prod_her!$1:$1,prod_ins!$1:$1,prod_fun!$1:$1,prod_fer!$1:$1),0)),""))</f>
        <v>10%+40%</v>
      </c>
      <c r="G7" t="str">
        <f>IF(OR($B7="",$J7=""),"",IFERROR(INDEX(CHOOSE($J7,prod_her!$A:$J,prod_ins!$A:$J,prod_fun!$A:$J,prod_fer!$A:$L),MATCH($B7,CHOOSE($J7,prod_her!$A:$A,prod_ins!$A:$A,prod_fun!$A:$A,prod_fer!$A:$A),0),MATCH(G$1,CHOOSE($J7,prod_her!$1:$1,prod_ins!$1:$1,prod_fun!$1:$1,prod_fer!$1:$1),0)),""))</f>
        <v>WG</v>
      </c>
      <c r="H7" s="6" t="str">
        <f>IF(OR($B7="",$J7=""),"",IFERROR(INDEX(CHOOSE($J7,prod_her!$A:$J,prod_ins!$A:$J,prod_fun!$A:$J,prod_fer!$A:$L),MATCH($B7,CHOOSE($J7,prod_her!$A:$A,prod_ins!$A:$A,prod_fun!$A:$A,prod_fer!$A:$A),0),MATCH(H$1,CHOOSE($J7,prod_her!$1:$1,prod_ins!$1:$1,prod_fun!$1:$1,prod_fer!$1:$1),0)),""))</f>
        <v>SHK</v>
      </c>
      <c r="I7" s="6">
        <v>40</v>
      </c>
      <c r="J7" s="8">
        <f>IFERROR(MATCH($C7,{"herbicide";"insecticide";"fungicide";"fertilizer"},0),"")</f>
        <v>2</v>
      </c>
    </row>
    <row r="8" spans="1:10" x14ac:dyDescent="0.2">
      <c r="A8" s="10">
        <v>45881</v>
      </c>
      <c r="B8" t="s">
        <v>807</v>
      </c>
      <c r="C8" t="s">
        <v>1053</v>
      </c>
      <c r="D8" t="str">
        <f>IF(OR($B8="",$J8=""),"",IFERROR(INDEX(CHOOSE($J8,prod_her!$A:$J,prod_ins!$A:$J,prod_fun!$A:$J,prod_fer!$A:$L),MATCH($B8,CHOOSE($J8,prod_her!$A:$A,prod_ins!$A:$A,prod_fun!$A:$A,prod_fer!$A:$A),0),MATCH(D$1,CHOOSE($J8,prod_her!$1:$1,prod_ins!$1:$1,prod_fun!$1:$1,prod_fer!$1:$1),0)),""))</f>
        <v>เทรนนิว</v>
      </c>
      <c r="E8" t="str">
        <f>IF(OR($B8="",$J8=""),"",IFERROR(INDEX(CHOOSE($J8,prod_her!$A:$J,prod_ins!$A:$J,prod_fun!$A:$J,prod_fer!$A:$L),MATCH($B8,CHOOSE($J8,prod_her!$A:$A,prod_ins!$A:$A,prod_fun!$A:$A,prod_fer!$A:$A),0),MATCH(E$1,CHOOSE($J8,prod_her!$1:$1,prod_ins!$1:$1,prod_fun!$1:$1,prod_fer!$1:$1),0)),""))</f>
        <v>pyraclostrobin</v>
      </c>
      <c r="F8" t="str">
        <f>IF(OR($B8="",$J8=""),"",IFERROR(INDEX(CHOOSE($J8,prod_her!$A:$J,prod_ins!$A:$J,prod_fun!$A:$J,prod_fer!$A:$L),MATCH($B8,CHOOSE($J8,prod_her!$A:$A,prod_ins!$A:$A,prod_fun!$A:$A,prod_fer!$A:$A),0),MATCH(F$1,CHOOSE($J8,prod_her!$1:$1,prod_ins!$1:$1,prod_fun!$1:$1,prod_fer!$1:$1),0)),""))</f>
        <v>25% W/V</v>
      </c>
      <c r="G8" t="str">
        <f>IF(OR($B8="",$J8=""),"",IFERROR(INDEX(CHOOSE($J8,prod_her!$A:$J,prod_ins!$A:$J,prod_fun!$A:$J,prod_fer!$A:$L),MATCH($B8,CHOOSE($J8,prod_her!$A:$A,prod_ins!$A:$A,prod_fun!$A:$A,prod_fer!$A:$A),0),MATCH(G$1,CHOOSE($J8,prod_her!$1:$1,prod_ins!$1:$1,prod_fun!$1:$1,prod_fer!$1:$1),0)),""))</f>
        <v>EC</v>
      </c>
      <c r="H8" s="6" t="str">
        <f>IF(OR($B8="",$J8=""),"",IFERROR(INDEX(CHOOSE($J8,prod_her!$A:$J,prod_ins!$A:$J,prod_fun!$A:$J,prod_fer!$A:$L),MATCH($B8,CHOOSE($J8,prod_her!$A:$A,prod_ins!$A:$A,prod_fun!$A:$A,prod_fer!$A:$A),0),MATCH(H$1,CHOOSE($J8,prod_her!$1:$1,prod_ins!$1:$1,prod_fun!$1:$1,prod_fer!$1:$1),0)),""))</f>
        <v>SHK</v>
      </c>
      <c r="I8" s="6">
        <v>590</v>
      </c>
      <c r="J8" s="8">
        <f>IFERROR(MATCH($C8,{"herbicide";"insecticide";"fungicide";"fertilizer"},0),"")</f>
        <v>3</v>
      </c>
    </row>
    <row r="9" spans="1:10" x14ac:dyDescent="0.2">
      <c r="A9" s="10">
        <v>45881</v>
      </c>
      <c r="B9" t="s">
        <v>808</v>
      </c>
      <c r="C9" t="s">
        <v>1053</v>
      </c>
      <c r="D9" t="str">
        <f>IF(OR($B9="",$J9=""),"",IFERROR(INDEX(CHOOSE($J9,prod_her!$A:$J,prod_ins!$A:$J,prod_fun!$A:$J,prod_fer!$A:$L),MATCH($B9,CHOOSE($J9,prod_her!$A:$A,prod_ins!$A:$A,prod_fun!$A:$A,prod_fer!$A:$A),0),MATCH(D$1,CHOOSE($J9,prod_her!$1:$1,prod_ins!$1:$1,prod_fun!$1:$1,prod_fer!$1:$1),0)),""))</f>
        <v>ทานชิ</v>
      </c>
      <c r="E9" t="str">
        <f>IF(OR($B9="",$J9=""),"",IFERROR(INDEX(CHOOSE($J9,prod_her!$A:$J,prod_ins!$A:$J,prod_fun!$A:$J,prod_fer!$A:$L),MATCH($B9,CHOOSE($J9,prod_her!$A:$A,prod_ins!$A:$A,prod_fun!$A:$A,prod_fer!$A:$A),0),MATCH(E$1,CHOOSE($J9,prod_her!$1:$1,prod_ins!$1:$1,prod_fun!$1:$1,prod_fer!$1:$1),0)),""))</f>
        <v>thiophanate-methyl</v>
      </c>
      <c r="F9" t="str">
        <f>IF(OR($B9="",$J9=""),"",IFERROR(INDEX(CHOOSE($J9,prod_her!$A:$J,prod_ins!$A:$J,prod_fun!$A:$J,prod_fer!$A:$L),MATCH($B9,CHOOSE($J9,prod_her!$A:$A,prod_ins!$A:$A,prod_fun!$A:$A,prod_fer!$A:$A),0),MATCH(F$1,CHOOSE($J9,prod_her!$1:$1,prod_ins!$1:$1,prod_fun!$1:$1,prod_fer!$1:$1),0)),""))</f>
        <v>50% W/V</v>
      </c>
      <c r="G9" t="str">
        <f>IF(OR($B9="",$J9=""),"",IFERROR(INDEX(CHOOSE($J9,prod_her!$A:$J,prod_ins!$A:$J,prod_fun!$A:$J,prod_fer!$A:$L),MATCH($B9,CHOOSE($J9,prod_her!$A:$A,prod_ins!$A:$A,prod_fun!$A:$A,prod_fer!$A:$A),0),MATCH(G$1,CHOOSE($J9,prod_her!$1:$1,prod_ins!$1:$1,prod_fun!$1:$1,prod_fer!$1:$1),0)),""))</f>
        <v>SC</v>
      </c>
      <c r="H9" s="6" t="str">
        <f>IF(OR($B9="",$J9=""),"",IFERROR(INDEX(CHOOSE($J9,prod_her!$A:$J,prod_ins!$A:$J,prod_fun!$A:$J,prod_fer!$A:$L),MATCH($B9,CHOOSE($J9,prod_her!$A:$A,prod_ins!$A:$A,prod_fun!$A:$A,prod_fer!$A:$A),0),MATCH(H$1,CHOOSE($J9,prod_her!$1:$1,prod_ins!$1:$1,prod_fun!$1:$1,prod_fer!$1:$1),0)),""))</f>
        <v>SHK</v>
      </c>
      <c r="I9" s="6">
        <v>600</v>
      </c>
      <c r="J9" s="8">
        <f>IFERROR(MATCH($C9,{"herbicide";"insecticide";"fungicide";"fertilizer"},0),"")</f>
        <v>3</v>
      </c>
    </row>
    <row r="10" spans="1:10" x14ac:dyDescent="0.2">
      <c r="A10" s="10">
        <v>45881</v>
      </c>
      <c r="B10" t="s">
        <v>809</v>
      </c>
      <c r="C10" t="s">
        <v>1053</v>
      </c>
      <c r="D10" t="str">
        <f>IF(OR($B10="",$J10=""),"",IFERROR(INDEX(CHOOSE($J10,prod_her!$A:$J,prod_ins!$A:$J,prod_fun!$A:$J,prod_fer!$A:$L),MATCH($B10,CHOOSE($J10,prod_her!$A:$A,prod_ins!$A:$A,prod_fun!$A:$A,prod_fer!$A:$A),0),MATCH(D$1,CHOOSE($J10,prod_her!$1:$1,prod_ins!$1:$1,prod_fun!$1:$1,prod_fer!$1:$1),0)),""))</f>
        <v>ไตร-เบส บลู</v>
      </c>
      <c r="E10" t="str">
        <f>IF(OR($B10="",$J10=""),"",IFERROR(INDEX(CHOOSE($J10,prod_her!$A:$J,prod_ins!$A:$J,prod_fun!$A:$J,prod_fer!$A:$L),MATCH($B10,CHOOSE($J10,prod_her!$A:$A,prod_ins!$A:$A,prod_fun!$A:$A,prod_fer!$A:$A),0),MATCH(E$1,CHOOSE($J10,prod_her!$1:$1,prod_ins!$1:$1,prod_fun!$1:$1,prod_fer!$1:$1),0)),""))</f>
        <v xml:space="preserve">copper sulfate </v>
      </c>
      <c r="F10" t="str">
        <f>IF(OR($B10="",$J10=""),"",IFERROR(INDEX(CHOOSE($J10,prod_her!$A:$J,prod_ins!$A:$J,prod_fun!$A:$J,prod_fer!$A:$L),MATCH($B10,CHOOSE($J10,prod_her!$A:$A,prod_ins!$A:$A,prod_fun!$A:$A,prod_fer!$A:$A),0),MATCH(F$1,CHOOSE($J10,prod_her!$1:$1,prod_ins!$1:$1,prod_fun!$1:$1,prod_fer!$1:$1),0)),""))</f>
        <v>34.5% W/V</v>
      </c>
      <c r="G10" t="str">
        <f>IF(OR($B10="",$J10=""),"",IFERROR(INDEX(CHOOSE($J10,prod_her!$A:$J,prod_ins!$A:$J,prod_fun!$A:$J,prod_fer!$A:$L),MATCH($B10,CHOOSE($J10,prod_her!$A:$A,prod_ins!$A:$A,prod_fun!$A:$A,prod_fer!$A:$A),0),MATCH(G$1,CHOOSE($J10,prod_her!$1:$1,prod_ins!$1:$1,prod_fun!$1:$1,prod_fer!$1:$1),0)),""))</f>
        <v>SC</v>
      </c>
      <c r="H10" s="6" t="str">
        <f>IF(OR($B10="",$J10=""),"",IFERROR(INDEX(CHOOSE($J10,prod_her!$A:$J,prod_ins!$A:$J,prod_fun!$A:$J,prod_fer!$A:$L),MATCH($B10,CHOOSE($J10,prod_her!$A:$A,prod_ins!$A:$A,prod_fun!$A:$A,prod_fer!$A:$A),0),MATCH(H$1,CHOOSE($J10,prod_her!$1:$1,prod_ins!$1:$1,prod_fun!$1:$1,prod_fer!$1:$1),0)),""))</f>
        <v>SHK</v>
      </c>
      <c r="I10" s="6">
        <v>350</v>
      </c>
      <c r="J10" s="8">
        <f>IFERROR(MATCH($C10,{"herbicide";"insecticide";"fungicide";"fertilizer"},0),"")</f>
        <v>3</v>
      </c>
    </row>
    <row r="11" spans="1:10" x14ac:dyDescent="0.2">
      <c r="A11" s="10">
        <v>45881</v>
      </c>
      <c r="B11" t="s">
        <v>810</v>
      </c>
      <c r="C11" t="s">
        <v>1053</v>
      </c>
      <c r="D11" t="str">
        <f>IF(OR($B11="",$J11=""),"",IFERROR(INDEX(CHOOSE($J11,prod_her!$A:$J,prod_ins!$A:$J,prod_fun!$A:$J,prod_fer!$A:$L),MATCH($B11,CHOOSE($J11,prod_her!$A:$A,prod_ins!$A:$A,prod_fun!$A:$A,prod_fer!$A:$A),0),MATCH(D$1,CHOOSE($J11,prod_her!$1:$1,prod_ins!$1:$1,prod_fun!$1:$1,prod_fer!$1:$1),0)),""))</f>
        <v>แบคทรอล</v>
      </c>
      <c r="E11" t="str">
        <f>IF(OR($B11="",$J11=""),"",IFERROR(INDEX(CHOOSE($J11,prod_her!$A:$J,prod_ins!$A:$J,prod_fun!$A:$J,prod_fer!$A:$L),MATCH($B11,CHOOSE($J11,prod_her!$A:$A,prod_ins!$A:$A,prod_fun!$A:$A,prod_fer!$A:$A),0),MATCH(E$1,CHOOSE($J11,prod_her!$1:$1,prod_ins!$1:$1,prod_fun!$1:$1,prod_fer!$1:$1),0)),""))</f>
        <v>gentamicin sulfate+oxytetracyclin hydrochloride</v>
      </c>
      <c r="F11" t="str">
        <f>IF(OR($B11="",$J11=""),"",IFERROR(INDEX(CHOOSE($J11,prod_her!$A:$J,prod_ins!$A:$J,prod_fun!$A:$J,prod_fer!$A:$L),MATCH($B11,CHOOSE($J11,prod_her!$A:$A,prod_ins!$A:$A,prod_fun!$A:$A,prod_fer!$A:$A),0),MATCH(F$1,CHOOSE($J11,prod_her!$1:$1,prod_ins!$1:$1,prod_fun!$1:$1,prod_fer!$1:$1),0)),""))</f>
        <v>2%+6%</v>
      </c>
      <c r="G11" t="str">
        <f>IF(OR($B11="",$J11=""),"",IFERROR(INDEX(CHOOSE($J11,prod_her!$A:$J,prod_ins!$A:$J,prod_fun!$A:$J,prod_fer!$A:$L),MATCH($B11,CHOOSE($J11,prod_her!$A:$A,prod_ins!$A:$A,prod_fun!$A:$A,prod_fer!$A:$A),0),MATCH(G$1,CHOOSE($J11,prod_her!$1:$1,prod_ins!$1:$1,prod_fun!$1:$1,prod_fer!$1:$1),0)),""))</f>
        <v>WP</v>
      </c>
      <c r="H11" s="6" t="str">
        <f>IF(OR($B11="",$J11=""),"",IFERROR(INDEX(CHOOSE($J11,prod_her!$A:$J,prod_ins!$A:$J,prod_fun!$A:$J,prod_fer!$A:$L),MATCH($B11,CHOOSE($J11,prod_her!$A:$A,prod_ins!$A:$A,prod_fun!$A:$A,prod_fer!$A:$A),0),MATCH(H$1,CHOOSE($J11,prod_her!$1:$1,prod_ins!$1:$1,prod_fun!$1:$1,prod_fer!$1:$1),0)),""))</f>
        <v>SHK</v>
      </c>
      <c r="I11" s="6">
        <v>690</v>
      </c>
      <c r="J11" s="8">
        <f>IFERROR(MATCH($C11,{"herbicide";"insecticide";"fungicide";"fertilizer"},0),"")</f>
        <v>3</v>
      </c>
    </row>
    <row r="12" spans="1:10" x14ac:dyDescent="0.2">
      <c r="A12" s="10">
        <v>46271</v>
      </c>
      <c r="B12" t="s">
        <v>799</v>
      </c>
      <c r="C12" t="s">
        <v>1051</v>
      </c>
      <c r="D12" t="str">
        <f>IF(OR($B12="",$J12=""),"",IFERROR(INDEX(CHOOSE($J12,prod_her!$A:$J,prod_ins!$A:$J,prod_fun!$A:$J,prod_fer!$A:$L),MATCH($B12,CHOOSE($J12,prod_her!$A:$A,prod_ins!$A:$A,prod_fun!$A:$A,prod_fer!$A:$A),0),MATCH(D$1,CHOOSE($J12,prod_her!$1:$1,prod_ins!$1:$1,prod_fun!$1:$1,prod_fer!$1:$1),0)),""))</f>
        <v>เซนเที่ยม</v>
      </c>
      <c r="E12" t="str">
        <f>IF(OR($B12="",$J12=""),"",IFERROR(INDEX(CHOOSE($J12,prod_her!$A:$J,prod_ins!$A:$J,prod_fun!$A:$J,prod_fer!$A:$L),MATCH($B12,CHOOSE($J12,prod_her!$A:$A,prod_ins!$A:$A,prod_fun!$A:$A,prod_fer!$A:$A),0),MATCH(E$1,CHOOSE($J12,prod_her!$1:$1,prod_ins!$1:$1,prod_fun!$1:$1,prod_fer!$1:$1),0)),""))</f>
        <v>clomazone+propanil</v>
      </c>
      <c r="F12" t="str">
        <f>IF(OR($B12="",$J12=""),"",IFERROR(INDEX(CHOOSE($J12,prod_her!$A:$J,prod_ins!$A:$J,prod_fun!$A:$J,prod_fer!$A:$L),MATCH($B12,CHOOSE($J12,prod_her!$A:$A,prod_ins!$A:$A,prod_fun!$A:$A,prod_fer!$A:$A),0),MATCH(F$1,CHOOSE($J12,prod_her!$1:$1,prod_ins!$1:$1,prod_fun!$1:$1,prod_fer!$1:$1),0)),""))</f>
        <v>12%+27% W/V</v>
      </c>
      <c r="G12" t="str">
        <f>IF(OR($B12="",$J12=""),"",IFERROR(INDEX(CHOOSE($J12,prod_her!$A:$J,prod_ins!$A:$J,prod_fun!$A:$J,prod_fer!$A:$L),MATCH($B12,CHOOSE($J12,prod_her!$A:$A,prod_ins!$A:$A,prod_fun!$A:$A,prod_fer!$A:$A),0),MATCH(G$1,CHOOSE($J12,prod_her!$1:$1,prod_ins!$1:$1,prod_fun!$1:$1,prod_fer!$1:$1),0)),""))</f>
        <v>EC</v>
      </c>
      <c r="H12" s="6" t="str">
        <f>IF(OR($B12="",$J12=""),"",IFERROR(INDEX(CHOOSE($J12,prod_her!$A:$J,prod_ins!$A:$J,prod_fun!$A:$J,prod_fer!$A:$L),MATCH($B12,CHOOSE($J12,prod_her!$A:$A,prod_ins!$A:$A,prod_fun!$A:$A,prod_fer!$A:$A),0),MATCH(H$1,CHOOSE($J12,prod_her!$1:$1,prod_ins!$1:$1,prod_fun!$1:$1,prod_fer!$1:$1),0)),""))</f>
        <v>SHK</v>
      </c>
      <c r="I12" s="6">
        <v>480</v>
      </c>
      <c r="J12" s="8">
        <f>IFERROR(MATCH($C12,{"herbicide";"insecticide";"fungicide";"fertilizer"},0),"")</f>
        <v>1</v>
      </c>
    </row>
    <row r="13" spans="1:10" x14ac:dyDescent="0.2">
      <c r="A13" s="10">
        <v>46271</v>
      </c>
      <c r="B13" t="s">
        <v>800</v>
      </c>
      <c r="C13" t="s">
        <v>1051</v>
      </c>
      <c r="D13" t="str">
        <f>IF(OR($B13="",$J13=""),"",IFERROR(INDEX(CHOOSE($J13,prod_her!$A:$J,prod_ins!$A:$J,prod_fun!$A:$J,prod_fer!$A:$L),MATCH($B13,CHOOSE($J13,prod_her!$A:$A,prod_ins!$A:$A,prod_fun!$A:$A,prod_fer!$A:$A),0),MATCH(D$1,CHOOSE($J13,prod_her!$1:$1,prod_ins!$1:$1,prod_fun!$1:$1,prod_fer!$1:$1),0)),""))</f>
        <v>frontier-p</v>
      </c>
      <c r="E13" t="str">
        <f>IF(OR($B13="",$J13=""),"",IFERROR(INDEX(CHOOSE($J13,prod_her!$A:$J,prod_ins!$A:$J,prod_fun!$A:$J,prod_fer!$A:$L),MATCH($B13,CHOOSE($J13,prod_her!$A:$A,prod_ins!$A:$A,prod_fun!$A:$A,prod_fer!$A:$A),0),MATCH(E$1,CHOOSE($J13,prod_her!$1:$1,prod_ins!$1:$1,prod_fun!$1:$1,prod_fer!$1:$1),0)),""))</f>
        <v>dimethenamid-p</v>
      </c>
      <c r="F13" t="str">
        <f>IF(OR($B13="",$J13=""),"",IFERROR(INDEX(CHOOSE($J13,prod_her!$A:$J,prod_ins!$A:$J,prod_fun!$A:$J,prod_fer!$A:$L),MATCH($B13,CHOOSE($J13,prod_her!$A:$A,prod_ins!$A:$A,prod_fun!$A:$A,prod_fer!$A:$A),0),MATCH(F$1,CHOOSE($J13,prod_her!$1:$1,prod_ins!$1:$1,prod_fun!$1:$1,prod_fer!$1:$1),0)),""))</f>
        <v>72% W/V</v>
      </c>
      <c r="G13" t="str">
        <f>IF(OR($B13="",$J13=""),"",IFERROR(INDEX(CHOOSE($J13,prod_her!$A:$J,prod_ins!$A:$J,prod_fun!$A:$J,prod_fer!$A:$L),MATCH($B13,CHOOSE($J13,prod_her!$A:$A,prod_ins!$A:$A,prod_fun!$A:$A,prod_fer!$A:$A),0),MATCH(G$1,CHOOSE($J13,prod_her!$1:$1,prod_ins!$1:$1,prod_fun!$1:$1,prod_fer!$1:$1),0)),""))</f>
        <v>EC</v>
      </c>
      <c r="H13" s="6" t="str">
        <f>IF(OR($B13="",$J13=""),"",IFERROR(INDEX(CHOOSE($J13,prod_her!$A:$J,prod_ins!$A:$J,prod_fun!$A:$J,prod_fer!$A:$L),MATCH($B13,CHOOSE($J13,prod_her!$A:$A,prod_ins!$A:$A,prod_fun!$A:$A,prod_fer!$A:$A),0),MATCH(H$1,CHOOSE($J13,prod_her!$1:$1,prod_ins!$1:$1,prod_fun!$1:$1,prod_fer!$1:$1),0)),""))</f>
        <v>SHK</v>
      </c>
      <c r="I13" s="6">
        <v>620</v>
      </c>
      <c r="J13" s="8">
        <f>IFERROR(MATCH($C13,{"herbicide";"insecticide";"fungicide";"fertilizer"},0),"")</f>
        <v>1</v>
      </c>
    </row>
    <row r="14" spans="1:10" x14ac:dyDescent="0.2">
      <c r="A14" s="10">
        <v>46271</v>
      </c>
      <c r="B14" t="s">
        <v>801</v>
      </c>
      <c r="C14" t="s">
        <v>1051</v>
      </c>
      <c r="D14" t="str">
        <f>IF(OR($B14="",$J14=""),"",IFERROR(INDEX(CHOOSE($J14,prod_her!$A:$J,prod_ins!$A:$J,prod_fun!$A:$J,prod_fer!$A:$L),MATCH($B14,CHOOSE($J14,prod_her!$A:$A,prod_ins!$A:$A,prod_fun!$A:$A,prod_fer!$A:$A),0),MATCH(D$1,CHOOSE($J14,prod_her!$1:$1,prod_ins!$1:$1,prod_fun!$1:$1,prod_fer!$1:$1),0)),""))</f>
        <v>bramus</v>
      </c>
      <c r="E14" t="str">
        <f>IF(OR($B14="",$J14=""),"",IFERROR(INDEX(CHOOSE($J14,prod_her!$A:$J,prod_ins!$A:$J,prod_fun!$A:$J,prod_fer!$A:$L),MATCH($B14,CHOOSE($J14,prod_her!$A:$A,prod_ins!$A:$A,prod_fun!$A:$A,prod_fer!$A:$A),0),MATCH(E$1,CHOOSE($J14,prod_her!$1:$1,prod_ins!$1:$1,prod_fun!$1:$1,prod_fer!$1:$1),0)),""))</f>
        <v>bentazone</v>
      </c>
      <c r="F14" t="str">
        <f>IF(OR($B14="",$J14=""),"",IFERROR(INDEX(CHOOSE($J14,prod_her!$A:$J,prod_ins!$A:$J,prod_fun!$A:$J,prod_fer!$A:$L),MATCH($B14,CHOOSE($J14,prod_her!$A:$A,prod_ins!$A:$A,prod_fun!$A:$A,prod_fer!$A:$A),0),MATCH(F$1,CHOOSE($J14,prod_her!$1:$1,prod_ins!$1:$1,prod_fun!$1:$1,prod_fer!$1:$1),0)),""))</f>
        <v>48% W/V</v>
      </c>
      <c r="G14" t="str">
        <f>IF(OR($B14="",$J14=""),"",IFERROR(INDEX(CHOOSE($J14,prod_her!$A:$J,prod_ins!$A:$J,prod_fun!$A:$J,prod_fer!$A:$L),MATCH($B14,CHOOSE($J14,prod_her!$A:$A,prod_ins!$A:$A,prod_fun!$A:$A,prod_fer!$A:$A),0),MATCH(G$1,CHOOSE($J14,prod_her!$1:$1,prod_ins!$1:$1,prod_fun!$1:$1,prod_fer!$1:$1),0)),""))</f>
        <v>EC</v>
      </c>
      <c r="H14" s="6" t="str">
        <f>IF(OR($B14="",$J14=""),"",IFERROR(INDEX(CHOOSE($J14,prod_her!$A:$J,prod_ins!$A:$J,prod_fun!$A:$J,prod_fer!$A:$L),MATCH($B14,CHOOSE($J14,prod_her!$A:$A,prod_ins!$A:$A,prod_fun!$A:$A,prod_fer!$A:$A),0),MATCH(H$1,CHOOSE($J14,prod_her!$1:$1,prod_ins!$1:$1,prod_fun!$1:$1,prod_fer!$1:$1),0)),""))</f>
        <v>SHK</v>
      </c>
      <c r="I14" s="6">
        <v>900</v>
      </c>
      <c r="J14" s="8">
        <f>IFERROR(MATCH($C14,{"herbicide";"insecticide";"fungicide";"fertilizer"},0),"")</f>
        <v>1</v>
      </c>
    </row>
    <row r="15" spans="1:10" x14ac:dyDescent="0.2">
      <c r="A15" s="10">
        <v>46271</v>
      </c>
      <c r="B15" t="s">
        <v>804</v>
      </c>
      <c r="C15" t="s">
        <v>1052</v>
      </c>
      <c r="D15" t="str">
        <f>IF(OR($B15="",$J15=""),"",IFERROR(INDEX(CHOOSE($J15,prod_her!$A:$J,prod_ins!$A:$J,prod_fun!$A:$J,prod_fer!$A:$L),MATCH($B15,CHOOSE($J15,prod_her!$A:$A,prod_ins!$A:$A,prod_fun!$A:$A,prod_fer!$A:$A),0),MATCH(D$1,CHOOSE($J15,prod_her!$1:$1,prod_ins!$1:$1,prod_fun!$1:$1,prod_fer!$1:$1),0)),""))</f>
        <v>คิวเทอร์</v>
      </c>
      <c r="E15" t="str">
        <f>IF(OR($B15="",$J15=""),"",IFERROR(INDEX(CHOOSE($J15,prod_her!$A:$J,prod_ins!$A:$J,prod_fun!$A:$J,prod_fer!$A:$L),MATCH($B15,CHOOSE($J15,prod_her!$A:$A,prod_ins!$A:$A,prod_fun!$A:$A,prod_fer!$A:$A),0),MATCH(E$1,CHOOSE($J15,prod_her!$1:$1,prod_ins!$1:$1,prod_fun!$1:$1,prod_fer!$1:$1),0)),""))</f>
        <v>imidacloprid+lambda-cyhalothrin</v>
      </c>
      <c r="F15" t="str">
        <f>IF(OR($B15="",$J15=""),"",IFERROR(INDEX(CHOOSE($J15,prod_her!$A:$J,prod_ins!$A:$J,prod_fun!$A:$J,prod_fer!$A:$L),MATCH($B15,CHOOSE($J15,prod_her!$A:$A,prod_ins!$A:$A,prod_fun!$A:$A,prod_fer!$A:$A),0),MATCH(F$1,CHOOSE($J15,prod_her!$1:$1,prod_ins!$1:$1,prod_fun!$1:$1,prod_fer!$1:$1),0)),""))</f>
        <v>16%+12% W/V</v>
      </c>
      <c r="G15" t="str">
        <f>IF(OR($B15="",$J15=""),"",IFERROR(INDEX(CHOOSE($J15,prod_her!$A:$J,prod_ins!$A:$J,prod_fun!$A:$J,prod_fer!$A:$L),MATCH($B15,CHOOSE($J15,prod_her!$A:$A,prod_ins!$A:$A,prod_fun!$A:$A,prod_fer!$A:$A),0),MATCH(G$1,CHOOSE($J15,prod_her!$1:$1,prod_ins!$1:$1,prod_fun!$1:$1,prod_fer!$1:$1),0)),""))</f>
        <v>SC</v>
      </c>
      <c r="H15" s="6" t="str">
        <f>IF(OR($B15="",$J15=""),"",IFERROR(INDEX(CHOOSE($J15,prod_her!$A:$J,prod_ins!$A:$J,prod_fun!$A:$J,prod_fer!$A:$L),MATCH($B15,CHOOSE($J15,prod_her!$A:$A,prod_ins!$A:$A,prod_fun!$A:$A,prod_fer!$A:$A),0),MATCH(H$1,CHOOSE($J15,prod_her!$1:$1,prod_ins!$1:$1,prod_fun!$1:$1,prod_fer!$1:$1),0)),""))</f>
        <v>SHK</v>
      </c>
      <c r="I15" s="6">
        <v>550</v>
      </c>
      <c r="J15" s="8">
        <f>IFERROR(MATCH($C15,{"herbicide";"insecticide";"fungicide";"fertilizer"},0),"")</f>
        <v>2</v>
      </c>
    </row>
    <row r="16" spans="1:10" x14ac:dyDescent="0.2">
      <c r="A16" s="10">
        <v>46271</v>
      </c>
      <c r="B16" t="s">
        <v>805</v>
      </c>
      <c r="C16" t="s">
        <v>1052</v>
      </c>
      <c r="D16" t="str">
        <f>IF(OR($B16="",$J16=""),"",IFERROR(INDEX(CHOOSE($J16,prod_her!$A:$J,prod_ins!$A:$J,prod_fun!$A:$J,prod_fer!$A:$L),MATCH($B16,CHOOSE($J16,prod_her!$A:$A,prod_ins!$A:$A,prod_fun!$A:$A,prod_fer!$A:$A),0),MATCH(D$1,CHOOSE($J16,prod_her!$1:$1,prod_ins!$1:$1,prod_fun!$1:$1,prod_fer!$1:$1),0)),""))</f>
        <v>โดรนพลัส</v>
      </c>
      <c r="E16" t="str">
        <f>IF(OR($B16="",$J16=""),"",IFERROR(INDEX(CHOOSE($J16,prod_her!$A:$J,prod_ins!$A:$J,prod_fun!$A:$J,prod_fer!$A:$L),MATCH($B16,CHOOSE($J16,prod_her!$A:$A,prod_ins!$A:$A,prod_fun!$A:$A,prod_fer!$A:$A),0),MATCH(E$1,CHOOSE($J16,prod_her!$1:$1,prod_ins!$1:$1,prod_fun!$1:$1,prod_fer!$1:$1),0)),""))</f>
        <v>profenofos+lufenuron</v>
      </c>
      <c r="F16" t="str">
        <f>IF(OR($B16="",$J16=""),"",IFERROR(INDEX(CHOOSE($J16,prod_her!$A:$J,prod_ins!$A:$J,prod_fun!$A:$J,prod_fer!$A:$L),MATCH($B16,CHOOSE($J16,prod_her!$A:$A,prod_ins!$A:$A,prod_fun!$A:$A,prod_fer!$A:$A),0),MATCH(F$1,CHOOSE($J16,prod_her!$1:$1,prod_ins!$1:$1,prod_fun!$1:$1,prod_fer!$1:$1),0)),""))</f>
        <v>50%+5% W/V</v>
      </c>
      <c r="G16" t="str">
        <f>IF(OR($B16="",$J16=""),"",IFERROR(INDEX(CHOOSE($J16,prod_her!$A:$J,prod_ins!$A:$J,prod_fun!$A:$J,prod_fer!$A:$L),MATCH($B16,CHOOSE($J16,prod_her!$A:$A,prod_ins!$A:$A,prod_fun!$A:$A,prod_fer!$A:$A),0),MATCH(G$1,CHOOSE($J16,prod_her!$1:$1,prod_ins!$1:$1,prod_fun!$1:$1,prod_fer!$1:$1),0)),""))</f>
        <v>EC</v>
      </c>
      <c r="H16" s="6" t="str">
        <f>IF(OR($B16="",$J16=""),"",IFERROR(INDEX(CHOOSE($J16,prod_her!$A:$J,prod_ins!$A:$J,prod_fun!$A:$J,prod_fer!$A:$L),MATCH($B16,CHOOSE($J16,prod_her!$A:$A,prod_ins!$A:$A,prod_fun!$A:$A,prod_fer!$A:$A),0),MATCH(H$1,CHOOSE($J16,prod_her!$1:$1,prod_ins!$1:$1,prod_fun!$1:$1,prod_fer!$1:$1),0)),""))</f>
        <v>SHK</v>
      </c>
      <c r="I16" s="6">
        <v>590</v>
      </c>
      <c r="J16" s="8">
        <f>IFERROR(MATCH($C16,{"herbicide";"insecticide";"fungicide";"fertilizer"},0),"")</f>
        <v>2</v>
      </c>
    </row>
    <row r="17" spans="1:10" x14ac:dyDescent="0.2">
      <c r="A17" s="10">
        <v>46271</v>
      </c>
      <c r="B17" t="s">
        <v>806</v>
      </c>
      <c r="C17" t="s">
        <v>1052</v>
      </c>
      <c r="D17" t="str">
        <f>IF(OR($B17="",$J17=""),"",IFERROR(INDEX(CHOOSE($J17,prod_her!$A:$J,prod_ins!$A:$J,prod_fun!$A:$J,prod_fer!$A:$L),MATCH($B17,CHOOSE($J17,prod_her!$A:$A,prod_ins!$A:$A,prod_fun!$A:$A,prod_fer!$A:$A),0),MATCH(D$1,CHOOSE($J17,prod_her!$1:$1,prod_ins!$1:$1,prod_fun!$1:$1,prod_fer!$1:$1),0)),""))</f>
        <v>ออสเรียม</v>
      </c>
      <c r="E17" t="str">
        <f>IF(OR($B17="",$J17=""),"",IFERROR(INDEX(CHOOSE($J17,prod_her!$A:$J,prod_ins!$A:$J,prod_fun!$A:$J,prod_fer!$A:$L),MATCH($B17,CHOOSE($J17,prod_her!$A:$A,prod_ins!$A:$A,prod_fun!$A:$A,prod_fer!$A:$A),0),MATCH(E$1,CHOOSE($J17,prod_her!$1:$1,prod_ins!$1:$1,prod_fun!$1:$1,prod_fer!$1:$1),0)),""))</f>
        <v>emamectin benzoate+lufenuron</v>
      </c>
      <c r="F17" t="str">
        <f>IF(OR($B17="",$J17=""),"",IFERROR(INDEX(CHOOSE($J17,prod_her!$A:$J,prod_ins!$A:$J,prod_fun!$A:$J,prod_fer!$A:$L),MATCH($B17,CHOOSE($J17,prod_her!$A:$A,prod_ins!$A:$A,prod_fun!$A:$A,prod_fer!$A:$A),0),MATCH(F$1,CHOOSE($J17,prod_her!$1:$1,prod_ins!$1:$1,prod_fun!$1:$1,prod_fer!$1:$1),0)),""))</f>
        <v>10%+40%</v>
      </c>
      <c r="G17" t="str">
        <f>IF(OR($B17="",$J17=""),"",IFERROR(INDEX(CHOOSE($J17,prod_her!$A:$J,prod_ins!$A:$J,prod_fun!$A:$J,prod_fer!$A:$L),MATCH($B17,CHOOSE($J17,prod_her!$A:$A,prod_ins!$A:$A,prod_fun!$A:$A,prod_fer!$A:$A),0),MATCH(G$1,CHOOSE($J17,prod_her!$1:$1,prod_ins!$1:$1,prod_fun!$1:$1,prod_fer!$1:$1),0)),""))</f>
        <v>WG</v>
      </c>
      <c r="H17" s="6" t="str">
        <f>IF(OR($B17="",$J17=""),"",IFERROR(INDEX(CHOOSE($J17,prod_her!$A:$J,prod_ins!$A:$J,prod_fun!$A:$J,prod_fer!$A:$L),MATCH($B17,CHOOSE($J17,prod_her!$A:$A,prod_ins!$A:$A,prod_fun!$A:$A,prod_fer!$A:$A),0),MATCH(H$1,CHOOSE($J17,prod_her!$1:$1,prod_ins!$1:$1,prod_fun!$1:$1,prod_fer!$1:$1),0)),""))</f>
        <v>SHK</v>
      </c>
      <c r="I17" s="6">
        <v>40</v>
      </c>
      <c r="J17" s="8">
        <f>IFERROR(MATCH($C17,{"herbicide";"insecticide";"fungicide";"fertilizer"},0),"")</f>
        <v>2</v>
      </c>
    </row>
    <row r="18" spans="1:10" x14ac:dyDescent="0.2">
      <c r="A18" s="10">
        <v>46271</v>
      </c>
      <c r="B18" t="s">
        <v>807</v>
      </c>
      <c r="C18" t="s">
        <v>1053</v>
      </c>
      <c r="D18" t="str">
        <f>IF(OR($B18="",$J18=""),"",IFERROR(INDEX(CHOOSE($J18,prod_her!$A:$J,prod_ins!$A:$J,prod_fun!$A:$J,prod_fer!$A:$L),MATCH($B18,CHOOSE($J18,prod_her!$A:$A,prod_ins!$A:$A,prod_fun!$A:$A,prod_fer!$A:$A),0),MATCH(D$1,CHOOSE($J18,prod_her!$1:$1,prod_ins!$1:$1,prod_fun!$1:$1,prod_fer!$1:$1),0)),""))</f>
        <v>เทรนนิว</v>
      </c>
      <c r="E18" t="str">
        <f>IF(OR($B18="",$J18=""),"",IFERROR(INDEX(CHOOSE($J18,prod_her!$A:$J,prod_ins!$A:$J,prod_fun!$A:$J,prod_fer!$A:$L),MATCH($B18,CHOOSE($J18,prod_her!$A:$A,prod_ins!$A:$A,prod_fun!$A:$A,prod_fer!$A:$A),0),MATCH(E$1,CHOOSE($J18,prod_her!$1:$1,prod_ins!$1:$1,prod_fun!$1:$1,prod_fer!$1:$1),0)),""))</f>
        <v>pyraclostrobin</v>
      </c>
      <c r="F18" t="str">
        <f>IF(OR($B18="",$J18=""),"",IFERROR(INDEX(CHOOSE($J18,prod_her!$A:$J,prod_ins!$A:$J,prod_fun!$A:$J,prod_fer!$A:$L),MATCH($B18,CHOOSE($J18,prod_her!$A:$A,prod_ins!$A:$A,prod_fun!$A:$A,prod_fer!$A:$A),0),MATCH(F$1,CHOOSE($J18,prod_her!$1:$1,prod_ins!$1:$1,prod_fun!$1:$1,prod_fer!$1:$1),0)),""))</f>
        <v>25% W/V</v>
      </c>
      <c r="G18" t="str">
        <f>IF(OR($B18="",$J18=""),"",IFERROR(INDEX(CHOOSE($J18,prod_her!$A:$J,prod_ins!$A:$J,prod_fun!$A:$J,prod_fer!$A:$L),MATCH($B18,CHOOSE($J18,prod_her!$A:$A,prod_ins!$A:$A,prod_fun!$A:$A,prod_fer!$A:$A),0),MATCH(G$1,CHOOSE($J18,prod_her!$1:$1,prod_ins!$1:$1,prod_fun!$1:$1,prod_fer!$1:$1),0)),""))</f>
        <v>EC</v>
      </c>
      <c r="H18" s="6" t="str">
        <f>IF(OR($B18="",$J18=""),"",IFERROR(INDEX(CHOOSE($J18,prod_her!$A:$J,prod_ins!$A:$J,prod_fun!$A:$J,prod_fer!$A:$L),MATCH($B18,CHOOSE($J18,prod_her!$A:$A,prod_ins!$A:$A,prod_fun!$A:$A,prod_fer!$A:$A),0),MATCH(H$1,CHOOSE($J18,prod_her!$1:$1,prod_ins!$1:$1,prod_fun!$1:$1,prod_fer!$1:$1),0)),""))</f>
        <v>SHK</v>
      </c>
      <c r="I18" s="6">
        <v>550</v>
      </c>
      <c r="J18" s="8">
        <f>IFERROR(MATCH($C18,{"herbicide";"insecticide";"fungicide";"fertilizer"},0),"")</f>
        <v>3</v>
      </c>
    </row>
    <row r="19" spans="1:10" x14ac:dyDescent="0.2">
      <c r="A19" s="10">
        <v>46271</v>
      </c>
      <c r="B19" t="s">
        <v>808</v>
      </c>
      <c r="C19" t="s">
        <v>1053</v>
      </c>
      <c r="D19" t="str">
        <f>IF(OR($B19="",$J19=""),"",IFERROR(INDEX(CHOOSE($J19,prod_her!$A:$J,prod_ins!$A:$J,prod_fun!$A:$J,prod_fer!$A:$L),MATCH($B19,CHOOSE($J19,prod_her!$A:$A,prod_ins!$A:$A,prod_fun!$A:$A,prod_fer!$A:$A),0),MATCH(D$1,CHOOSE($J19,prod_her!$1:$1,prod_ins!$1:$1,prod_fun!$1:$1,prod_fer!$1:$1),0)),""))</f>
        <v>ทานชิ</v>
      </c>
      <c r="E19" t="str">
        <f>IF(OR($B19="",$J19=""),"",IFERROR(INDEX(CHOOSE($J19,prod_her!$A:$J,prod_ins!$A:$J,prod_fun!$A:$J,prod_fer!$A:$L),MATCH($B19,CHOOSE($J19,prod_her!$A:$A,prod_ins!$A:$A,prod_fun!$A:$A,prod_fer!$A:$A),0),MATCH(E$1,CHOOSE($J19,prod_her!$1:$1,prod_ins!$1:$1,prod_fun!$1:$1,prod_fer!$1:$1),0)),""))</f>
        <v>thiophanate-methyl</v>
      </c>
      <c r="F19" t="str">
        <f>IF(OR($B19="",$J19=""),"",IFERROR(INDEX(CHOOSE($J19,prod_her!$A:$J,prod_ins!$A:$J,prod_fun!$A:$J,prod_fer!$A:$L),MATCH($B19,CHOOSE($J19,prod_her!$A:$A,prod_ins!$A:$A,prod_fun!$A:$A,prod_fer!$A:$A),0),MATCH(F$1,CHOOSE($J19,prod_her!$1:$1,prod_ins!$1:$1,prod_fun!$1:$1,prod_fer!$1:$1),0)),""))</f>
        <v>50% W/V</v>
      </c>
      <c r="G19" t="str">
        <f>IF(OR($B19="",$J19=""),"",IFERROR(INDEX(CHOOSE($J19,prod_her!$A:$J,prod_ins!$A:$J,prod_fun!$A:$J,prod_fer!$A:$L),MATCH($B19,CHOOSE($J19,prod_her!$A:$A,prod_ins!$A:$A,prod_fun!$A:$A,prod_fer!$A:$A),0),MATCH(G$1,CHOOSE($J19,prod_her!$1:$1,prod_ins!$1:$1,prod_fun!$1:$1,prod_fer!$1:$1),0)),""))</f>
        <v>SC</v>
      </c>
      <c r="H19" s="6" t="str">
        <f>IF(OR($B19="",$J19=""),"",IFERROR(INDEX(CHOOSE($J19,prod_her!$A:$J,prod_ins!$A:$J,prod_fun!$A:$J,prod_fer!$A:$L),MATCH($B19,CHOOSE($J19,prod_her!$A:$A,prod_ins!$A:$A,prod_fun!$A:$A,prod_fer!$A:$A),0),MATCH(H$1,CHOOSE($J19,prod_her!$1:$1,prod_ins!$1:$1,prod_fun!$1:$1,prod_fer!$1:$1),0)),""))</f>
        <v>SHK</v>
      </c>
      <c r="I19" s="6">
        <v>580</v>
      </c>
      <c r="J19" s="8">
        <f>IFERROR(MATCH($C19,{"herbicide";"insecticide";"fungicide";"fertilizer"},0),"")</f>
        <v>3</v>
      </c>
    </row>
    <row r="20" spans="1:10" x14ac:dyDescent="0.2">
      <c r="A20" s="10">
        <v>46271</v>
      </c>
      <c r="B20" t="s">
        <v>809</v>
      </c>
      <c r="C20" t="s">
        <v>1053</v>
      </c>
      <c r="D20" t="str">
        <f>IF(OR($B20="",$J20=""),"",IFERROR(INDEX(CHOOSE($J20,prod_her!$A:$J,prod_ins!$A:$J,prod_fun!$A:$J,prod_fer!$A:$L),MATCH($B20,CHOOSE($J20,prod_her!$A:$A,prod_ins!$A:$A,prod_fun!$A:$A,prod_fer!$A:$A),0),MATCH(D$1,CHOOSE($J20,prod_her!$1:$1,prod_ins!$1:$1,prod_fun!$1:$1,prod_fer!$1:$1),0)),""))</f>
        <v>ไตร-เบส บลู</v>
      </c>
      <c r="E20" t="str">
        <f>IF(OR($B20="",$J20=""),"",IFERROR(INDEX(CHOOSE($J20,prod_her!$A:$J,prod_ins!$A:$J,prod_fun!$A:$J,prod_fer!$A:$L),MATCH($B20,CHOOSE($J20,prod_her!$A:$A,prod_ins!$A:$A,prod_fun!$A:$A,prod_fer!$A:$A),0),MATCH(E$1,CHOOSE($J20,prod_her!$1:$1,prod_ins!$1:$1,prod_fun!$1:$1,prod_fer!$1:$1),0)),""))</f>
        <v xml:space="preserve">copper sulfate </v>
      </c>
      <c r="F20" t="str">
        <f>IF(OR($B20="",$J20=""),"",IFERROR(INDEX(CHOOSE($J20,prod_her!$A:$J,prod_ins!$A:$J,prod_fun!$A:$J,prod_fer!$A:$L),MATCH($B20,CHOOSE($J20,prod_her!$A:$A,prod_ins!$A:$A,prod_fun!$A:$A,prod_fer!$A:$A),0),MATCH(F$1,CHOOSE($J20,prod_her!$1:$1,prod_ins!$1:$1,prod_fun!$1:$1,prod_fer!$1:$1),0)),""))</f>
        <v>34.5% W/V</v>
      </c>
      <c r="G20" t="str">
        <f>IF(OR($B20="",$J20=""),"",IFERROR(INDEX(CHOOSE($J20,prod_her!$A:$J,prod_ins!$A:$J,prod_fun!$A:$J,prod_fer!$A:$L),MATCH($B20,CHOOSE($J20,prod_her!$A:$A,prod_ins!$A:$A,prod_fun!$A:$A,prod_fer!$A:$A),0),MATCH(G$1,CHOOSE($J20,prod_her!$1:$1,prod_ins!$1:$1,prod_fun!$1:$1,prod_fer!$1:$1),0)),""))</f>
        <v>SC</v>
      </c>
      <c r="H20" s="6" t="str">
        <f>IF(OR($B20="",$J20=""),"",IFERROR(INDEX(CHOOSE($J20,prod_her!$A:$J,prod_ins!$A:$J,prod_fun!$A:$J,prod_fer!$A:$L),MATCH($B20,CHOOSE($J20,prod_her!$A:$A,prod_ins!$A:$A,prod_fun!$A:$A,prod_fer!$A:$A),0),MATCH(H$1,CHOOSE($J20,prod_her!$1:$1,prod_ins!$1:$1,prod_fun!$1:$1,prod_fer!$1:$1),0)),""))</f>
        <v>SHK</v>
      </c>
      <c r="I20" s="6">
        <v>350</v>
      </c>
      <c r="J20">
        <f>IFERROR(MATCH($C20,{"herbicide";"insecticide";"fungicide";"fertilizer"},0),"")</f>
        <v>3</v>
      </c>
    </row>
    <row r="21" spans="1:10" x14ac:dyDescent="0.2">
      <c r="A21" s="10">
        <v>46271</v>
      </c>
      <c r="B21" t="s">
        <v>810</v>
      </c>
      <c r="C21" t="s">
        <v>1053</v>
      </c>
      <c r="D21" t="str">
        <f>IF(OR($B21="",$J21=""),"",IFERROR(INDEX(CHOOSE($J21,prod_her!$A:$J,prod_ins!$A:$J,prod_fun!$A:$J,prod_fer!$A:$L),MATCH($B21,CHOOSE($J21,prod_her!$A:$A,prod_ins!$A:$A,prod_fun!$A:$A,prod_fer!$A:$A),0),MATCH(D$1,CHOOSE($J21,prod_her!$1:$1,prod_ins!$1:$1,prod_fun!$1:$1,prod_fer!$1:$1),0)),""))</f>
        <v>แบคทรอล</v>
      </c>
      <c r="E21" t="str">
        <f>IF(OR($B21="",$J21=""),"",IFERROR(INDEX(CHOOSE($J21,prod_her!$A:$J,prod_ins!$A:$J,prod_fun!$A:$J,prod_fer!$A:$L),MATCH($B21,CHOOSE($J21,prod_her!$A:$A,prod_ins!$A:$A,prod_fun!$A:$A,prod_fer!$A:$A),0),MATCH(E$1,CHOOSE($J21,prod_her!$1:$1,prod_ins!$1:$1,prod_fun!$1:$1,prod_fer!$1:$1),0)),""))</f>
        <v>gentamicin sulfate+oxytetracyclin hydrochloride</v>
      </c>
      <c r="F21" t="str">
        <f>IF(OR($B21="",$J21=""),"",IFERROR(INDEX(CHOOSE($J21,prod_her!$A:$J,prod_ins!$A:$J,prod_fun!$A:$J,prod_fer!$A:$L),MATCH($B21,CHOOSE($J21,prod_her!$A:$A,prod_ins!$A:$A,prod_fun!$A:$A,prod_fer!$A:$A),0),MATCH(F$1,CHOOSE($J21,prod_her!$1:$1,prod_ins!$1:$1,prod_fun!$1:$1,prod_fer!$1:$1),0)),""))</f>
        <v>2%+6%</v>
      </c>
      <c r="G21" t="str">
        <f>IF(OR($B21="",$J21=""),"",IFERROR(INDEX(CHOOSE($J21,prod_her!$A:$J,prod_ins!$A:$J,prod_fun!$A:$J,prod_fer!$A:$L),MATCH($B21,CHOOSE($J21,prod_her!$A:$A,prod_ins!$A:$A,prod_fun!$A:$A,prod_fer!$A:$A),0),MATCH(G$1,CHOOSE($J21,prod_her!$1:$1,prod_ins!$1:$1,prod_fun!$1:$1,prod_fer!$1:$1),0)),""))</f>
        <v>WP</v>
      </c>
      <c r="H21" s="6" t="str">
        <f>IF(OR($B21="",$J21=""),"",IFERROR(INDEX(CHOOSE($J21,prod_her!$A:$J,prod_ins!$A:$J,prod_fun!$A:$J,prod_fer!$A:$L),MATCH($B21,CHOOSE($J21,prod_her!$A:$A,prod_ins!$A:$A,prod_fun!$A:$A,prod_fer!$A:$A),0),MATCH(H$1,CHOOSE($J21,prod_her!$1:$1,prod_ins!$1:$1,prod_fun!$1:$1,prod_fer!$1:$1),0)),""))</f>
        <v>SHK</v>
      </c>
      <c r="I21" s="6">
        <v>700</v>
      </c>
      <c r="J21">
        <f>IFERROR(MATCH($C21,{"herbicide";"insecticide";"fungicide";"fertilizer"},0),"")</f>
        <v>3</v>
      </c>
    </row>
    <row r="22" spans="1:10" x14ac:dyDescent="0.2">
      <c r="D22" t="str">
        <f>IF(OR($B22="",$J22=""),"",IFERROR(INDEX(CHOOSE($J22,prod_her!$A:$J,prod_ins!$A:$J,prod_fun!$A:$J,prod_fer!$A:$L),MATCH($B22,CHOOSE($J22,prod_her!$A:$A,prod_ins!$A:$A,prod_fun!$A:$A,prod_fer!$A:$A),0),MATCH(D$1,CHOOSE($J22,prod_her!$1:$1,prod_ins!$1:$1,prod_fun!$1:$1,prod_fer!$1:$1),0)),""))</f>
        <v/>
      </c>
      <c r="E22" t="str">
        <f>IF(OR($B22="",$J22=""),"",IFERROR(INDEX(CHOOSE($J22,prod_her!$A:$J,prod_ins!$A:$J,prod_fun!$A:$J,prod_fer!$A:$L),MATCH($B22,CHOOSE($J22,prod_her!$A:$A,prod_ins!$A:$A,prod_fun!$A:$A,prod_fer!$A:$A),0),MATCH(E$1,CHOOSE($J22,prod_her!$1:$1,prod_ins!$1:$1,prod_fun!$1:$1,prod_fer!$1:$1),0)),""))</f>
        <v/>
      </c>
      <c r="F22" t="str">
        <f>IF(OR($B22="",$J22=""),"",IFERROR(INDEX(CHOOSE($J22,prod_her!$A:$J,prod_ins!$A:$J,prod_fun!$A:$J,prod_fer!$A:$L),MATCH($B22,CHOOSE($J22,prod_her!$A:$A,prod_ins!$A:$A,prod_fun!$A:$A,prod_fer!$A:$A),0),MATCH(F$1,CHOOSE($J22,prod_her!$1:$1,prod_ins!$1:$1,prod_fun!$1:$1,prod_fer!$1:$1),0)),""))</f>
        <v/>
      </c>
      <c r="G22" t="str">
        <f>IF(OR($B22="",$J22=""),"",IFERROR(INDEX(CHOOSE($J22,prod_her!$A:$J,prod_ins!$A:$J,prod_fun!$A:$J,prod_fer!$A:$L),MATCH($B22,CHOOSE($J22,prod_her!$A:$A,prod_ins!$A:$A,prod_fun!$A:$A,prod_fer!$A:$A),0),MATCH(G$1,CHOOSE($J22,prod_her!$1:$1,prod_ins!$1:$1,prod_fun!$1:$1,prod_fer!$1:$1),0)),""))</f>
        <v/>
      </c>
      <c r="H22" s="6"/>
      <c r="I22" s="6"/>
      <c r="J22" t="str">
        <f>IFERROR(MATCH($C22,{"herbicide";"insecticide";"fungicide";"fertilizer"},0),"")</f>
        <v/>
      </c>
    </row>
    <row r="23" spans="1:10" x14ac:dyDescent="0.2">
      <c r="D23" t="str">
        <f>IF(OR($B23="",$J23=""),"",IFERROR(INDEX(CHOOSE($J23,prod_her!$A:$J,prod_ins!$A:$J,prod_fun!$A:$J,prod_fer!$A:$L),MATCH($B23,CHOOSE($J23,prod_her!$A:$A,prod_ins!$A:$A,prod_fun!$A:$A,prod_fer!$A:$A),0),MATCH(D$1,CHOOSE($J23,prod_her!$1:$1,prod_ins!$1:$1,prod_fun!$1:$1,prod_fer!$1:$1),0)),""))</f>
        <v/>
      </c>
      <c r="E23" t="str">
        <f>IF(OR($B23="",$J23=""),"",IFERROR(INDEX(CHOOSE($J23,prod_her!$A:$J,prod_ins!$A:$J,prod_fun!$A:$J,prod_fer!$A:$L),MATCH($B23,CHOOSE($J23,prod_her!$A:$A,prod_ins!$A:$A,prod_fun!$A:$A,prod_fer!$A:$A),0),MATCH(E$1,CHOOSE($J23,prod_her!$1:$1,prod_ins!$1:$1,prod_fun!$1:$1,prod_fer!$1:$1),0)),""))</f>
        <v/>
      </c>
      <c r="F23" t="str">
        <f>IF(OR($B23="",$J23=""),"",IFERROR(INDEX(CHOOSE($J23,prod_her!$A:$J,prod_ins!$A:$J,prod_fun!$A:$J,prod_fer!$A:$L),MATCH($B23,CHOOSE($J23,prod_her!$A:$A,prod_ins!$A:$A,prod_fun!$A:$A,prod_fer!$A:$A),0),MATCH(F$1,CHOOSE($J23,prod_her!$1:$1,prod_ins!$1:$1,prod_fun!$1:$1,prod_fer!$1:$1),0)),""))</f>
        <v/>
      </c>
      <c r="G23" t="str">
        <f>IF(OR($B23="",$J23=""),"",IFERROR(INDEX(CHOOSE($J23,prod_her!$A:$J,prod_ins!$A:$J,prod_fun!$A:$J,prod_fer!$A:$L),MATCH($B23,CHOOSE($J23,prod_her!$A:$A,prod_ins!$A:$A,prod_fun!$A:$A,prod_fer!$A:$A),0),MATCH(G$1,CHOOSE($J23,prod_her!$1:$1,prod_ins!$1:$1,prod_fun!$1:$1,prod_fer!$1:$1),0)),""))</f>
        <v/>
      </c>
      <c r="H23" s="6"/>
      <c r="I23" s="6"/>
      <c r="J23" t="str">
        <f>IFERROR(MATCH($C23,{"herbicide";"insecticide";"fungicide";"fertilizer"},0),"")</f>
        <v/>
      </c>
    </row>
    <row r="24" spans="1:10" x14ac:dyDescent="0.2">
      <c r="D24" t="str">
        <f>IF(OR($B24="",$J24=""),"",IFERROR(INDEX(CHOOSE($J24,prod_her!$A:$J,prod_ins!$A:$J,prod_fun!$A:$J,prod_fer!$A:$L),MATCH($B24,CHOOSE($J24,prod_her!$A:$A,prod_ins!$A:$A,prod_fun!$A:$A,prod_fer!$A:$A),0),MATCH(D$1,CHOOSE($J24,prod_her!$1:$1,prod_ins!$1:$1,prod_fun!$1:$1,prod_fer!$1:$1),0)),""))</f>
        <v/>
      </c>
      <c r="E24" t="str">
        <f>IF(OR($B24="",$J24=""),"",IFERROR(INDEX(CHOOSE($J24,prod_her!$A:$J,prod_ins!$A:$J,prod_fun!$A:$J,prod_fer!$A:$L),MATCH($B24,CHOOSE($J24,prod_her!$A:$A,prod_ins!$A:$A,prod_fun!$A:$A,prod_fer!$A:$A),0),MATCH(E$1,CHOOSE($J24,prod_her!$1:$1,prod_ins!$1:$1,prod_fun!$1:$1,prod_fer!$1:$1),0)),""))</f>
        <v/>
      </c>
      <c r="F24" t="str">
        <f>IF(OR($B24="",$J24=""),"",IFERROR(INDEX(CHOOSE($J24,prod_her!$A:$J,prod_ins!$A:$J,prod_fun!$A:$J,prod_fer!$A:$L),MATCH($B24,CHOOSE($J24,prod_her!$A:$A,prod_ins!$A:$A,prod_fun!$A:$A,prod_fer!$A:$A),0),MATCH(F$1,CHOOSE($J24,prod_her!$1:$1,prod_ins!$1:$1,prod_fun!$1:$1,prod_fer!$1:$1),0)),""))</f>
        <v/>
      </c>
      <c r="G24" t="str">
        <f>IF(OR($B24="",$J24=""),"",IFERROR(INDEX(CHOOSE($J24,prod_her!$A:$J,prod_ins!$A:$J,prod_fun!$A:$J,prod_fer!$A:$L),MATCH($B24,CHOOSE($J24,prod_her!$A:$A,prod_ins!$A:$A,prod_fun!$A:$A,prod_fer!$A:$A),0),MATCH(G$1,CHOOSE($J24,prod_her!$1:$1,prod_ins!$1:$1,prod_fun!$1:$1,prod_fer!$1:$1),0)),""))</f>
        <v/>
      </c>
      <c r="H24" s="6"/>
      <c r="I24" s="6"/>
      <c r="J24" t="str">
        <f>IFERROR(MATCH($C24,{"herbicide";"insecticide";"fungicide";"fertilizer"},0),"")</f>
        <v/>
      </c>
    </row>
    <row r="25" spans="1:10" x14ac:dyDescent="0.2">
      <c r="D25" t="str">
        <f>IF(OR($B25="",$J25=""),"",IFERROR(INDEX(CHOOSE($J25,prod_her!$A:$J,prod_ins!$A:$J,prod_fun!$A:$J,prod_fer!$A:$L),MATCH($B25,CHOOSE($J25,prod_her!$A:$A,prod_ins!$A:$A,prod_fun!$A:$A,prod_fer!$A:$A),0),MATCH(D$1,CHOOSE($J25,prod_her!$1:$1,prod_ins!$1:$1,prod_fun!$1:$1,prod_fer!$1:$1),0)),""))</f>
        <v/>
      </c>
      <c r="E25" t="str">
        <f>IF(OR($B25="",$J25=""),"",IFERROR(INDEX(CHOOSE($J25,prod_her!$A:$J,prod_ins!$A:$J,prod_fun!$A:$J,prod_fer!$A:$L),MATCH($B25,CHOOSE($J25,prod_her!$A:$A,prod_ins!$A:$A,prod_fun!$A:$A,prod_fer!$A:$A),0),MATCH(E$1,CHOOSE($J25,prod_her!$1:$1,prod_ins!$1:$1,prod_fun!$1:$1,prod_fer!$1:$1),0)),""))</f>
        <v/>
      </c>
      <c r="F25" t="str">
        <f>IF(OR($B25="",$J25=""),"",IFERROR(INDEX(CHOOSE($J25,prod_her!$A:$J,prod_ins!$A:$J,prod_fun!$A:$J,prod_fer!$A:$L),MATCH($B25,CHOOSE($J25,prod_her!$A:$A,prod_ins!$A:$A,prod_fun!$A:$A,prod_fer!$A:$A),0),MATCH(F$1,CHOOSE($J25,prod_her!$1:$1,prod_ins!$1:$1,prod_fun!$1:$1,prod_fer!$1:$1),0)),""))</f>
        <v/>
      </c>
      <c r="G25" t="str">
        <f>IF(OR($B25="",$J25=""),"",IFERROR(INDEX(CHOOSE($J25,prod_her!$A:$J,prod_ins!$A:$J,prod_fun!$A:$J,prod_fer!$A:$L),MATCH($B25,CHOOSE($J25,prod_her!$A:$A,prod_ins!$A:$A,prod_fun!$A:$A,prod_fer!$A:$A),0),MATCH(G$1,CHOOSE($J25,prod_her!$1:$1,prod_ins!$1:$1,prod_fun!$1:$1,prod_fer!$1:$1),0)),""))</f>
        <v/>
      </c>
      <c r="H25" s="6"/>
      <c r="I25" s="6"/>
      <c r="J25" t="str">
        <f>IFERROR(MATCH($C25,{"herbicide";"insecticide";"fungicide";"fertilizer"},0),"")</f>
        <v/>
      </c>
    </row>
    <row r="26" spans="1:10" x14ac:dyDescent="0.2">
      <c r="D26" t="str">
        <f>IF(OR($B26="",$J26=""),"",IFERROR(INDEX(CHOOSE($J26,prod_her!$A:$J,prod_ins!$A:$J,prod_fun!$A:$J,prod_fer!$A:$L),MATCH($B26,CHOOSE($J26,prod_her!$A:$A,prod_ins!$A:$A,prod_fun!$A:$A,prod_fer!$A:$A),0),MATCH(D$1,CHOOSE($J26,prod_her!$1:$1,prod_ins!$1:$1,prod_fun!$1:$1,prod_fer!$1:$1),0)),""))</f>
        <v/>
      </c>
      <c r="E26" t="str">
        <f>IF(OR($B26="",$J26=""),"",IFERROR(INDEX(CHOOSE($J26,prod_her!$A:$J,prod_ins!$A:$J,prod_fun!$A:$J,prod_fer!$A:$L),MATCH($B26,CHOOSE($J26,prod_her!$A:$A,prod_ins!$A:$A,prod_fun!$A:$A,prod_fer!$A:$A),0),MATCH(E$1,CHOOSE($J26,prod_her!$1:$1,prod_ins!$1:$1,prod_fun!$1:$1,prod_fer!$1:$1),0)),""))</f>
        <v/>
      </c>
      <c r="F26" t="str">
        <f>IF(OR($B26="",$J26=""),"",IFERROR(INDEX(CHOOSE($J26,prod_her!$A:$J,prod_ins!$A:$J,prod_fun!$A:$J,prod_fer!$A:$L),MATCH($B26,CHOOSE($J26,prod_her!$A:$A,prod_ins!$A:$A,prod_fun!$A:$A,prod_fer!$A:$A),0),MATCH(F$1,CHOOSE($J26,prod_her!$1:$1,prod_ins!$1:$1,prod_fun!$1:$1,prod_fer!$1:$1),0)),""))</f>
        <v/>
      </c>
      <c r="G26" t="str">
        <f>IF(OR($B26="",$J26=""),"",IFERROR(INDEX(CHOOSE($J26,prod_her!$A:$J,prod_ins!$A:$J,prod_fun!$A:$J,prod_fer!$A:$L),MATCH($B26,CHOOSE($J26,prod_her!$A:$A,prod_ins!$A:$A,prod_fun!$A:$A,prod_fer!$A:$A),0),MATCH(G$1,CHOOSE($J26,prod_her!$1:$1,prod_ins!$1:$1,prod_fun!$1:$1,prod_fer!$1:$1),0)),""))</f>
        <v/>
      </c>
      <c r="H26" s="6"/>
      <c r="I26" s="6"/>
      <c r="J26" t="str">
        <f>IFERROR(MATCH($C26,{"herbicide";"insecticide";"fungicide";"fertilizer"},0),"")</f>
        <v/>
      </c>
    </row>
    <row r="27" spans="1:10" x14ac:dyDescent="0.2">
      <c r="D27" t="str">
        <f>IF(OR($B27="",$J27=""),"",IFERROR(INDEX(CHOOSE($J27,prod_her!$A:$J,prod_ins!$A:$J,prod_fun!$A:$J,prod_fer!$A:$L),MATCH($B27,CHOOSE($J27,prod_her!$A:$A,prod_ins!$A:$A,prod_fun!$A:$A,prod_fer!$A:$A),0),MATCH(D$1,CHOOSE($J27,prod_her!$1:$1,prod_ins!$1:$1,prod_fun!$1:$1,prod_fer!$1:$1),0)),""))</f>
        <v/>
      </c>
      <c r="E27" t="str">
        <f>IF(OR($B27="",$J27=""),"",IFERROR(INDEX(CHOOSE($J27,prod_her!$A:$J,prod_ins!$A:$J,prod_fun!$A:$J,prod_fer!$A:$L),MATCH($B27,CHOOSE($J27,prod_her!$A:$A,prod_ins!$A:$A,prod_fun!$A:$A,prod_fer!$A:$A),0),MATCH(E$1,CHOOSE($J27,prod_her!$1:$1,prod_ins!$1:$1,prod_fun!$1:$1,prod_fer!$1:$1),0)),""))</f>
        <v/>
      </c>
      <c r="F27" t="str">
        <f>IF(OR($B27="",$J27=""),"",IFERROR(INDEX(CHOOSE($J27,prod_her!$A:$J,prod_ins!$A:$J,prod_fun!$A:$J,prod_fer!$A:$L),MATCH($B27,CHOOSE($J27,prod_her!$A:$A,prod_ins!$A:$A,prod_fun!$A:$A,prod_fer!$A:$A),0),MATCH(F$1,CHOOSE($J27,prod_her!$1:$1,prod_ins!$1:$1,prod_fun!$1:$1,prod_fer!$1:$1),0)),""))</f>
        <v/>
      </c>
      <c r="G27" t="str">
        <f>IF(OR($B27="",$J27=""),"",IFERROR(INDEX(CHOOSE($J27,prod_her!$A:$J,prod_ins!$A:$J,prod_fun!$A:$J,prod_fer!$A:$L),MATCH($B27,CHOOSE($J27,prod_her!$A:$A,prod_ins!$A:$A,prod_fun!$A:$A,prod_fer!$A:$A),0),MATCH(G$1,CHOOSE($J27,prod_her!$1:$1,prod_ins!$1:$1,prod_fun!$1:$1,prod_fer!$1:$1),0)),""))</f>
        <v/>
      </c>
      <c r="H27" s="6"/>
      <c r="I27" s="6"/>
      <c r="J27" t="str">
        <f>IFERROR(MATCH($C27,{"herbicide";"insecticide";"fungicide";"fertilizer"},0),"")</f>
        <v/>
      </c>
    </row>
    <row r="28" spans="1:10" x14ac:dyDescent="0.2">
      <c r="D28" t="str">
        <f>IF(OR($B28="",$J28=""),"",IFERROR(INDEX(CHOOSE($J28,prod_her!$A:$J,prod_ins!$A:$J,prod_fun!$A:$J,prod_fer!$A:$L),MATCH($B28,CHOOSE($J28,prod_her!$A:$A,prod_ins!$A:$A,prod_fun!$A:$A,prod_fer!$A:$A),0),MATCH(D$1,CHOOSE($J28,prod_her!$1:$1,prod_ins!$1:$1,prod_fun!$1:$1,prod_fer!$1:$1),0)),""))</f>
        <v/>
      </c>
      <c r="E28" t="str">
        <f>IF(OR($B28="",$J28=""),"",IFERROR(INDEX(CHOOSE($J28,prod_her!$A:$J,prod_ins!$A:$J,prod_fun!$A:$J,prod_fer!$A:$L),MATCH($B28,CHOOSE($J28,prod_her!$A:$A,prod_ins!$A:$A,prod_fun!$A:$A,prod_fer!$A:$A),0),MATCH(E$1,CHOOSE($J28,prod_her!$1:$1,prod_ins!$1:$1,prod_fun!$1:$1,prod_fer!$1:$1),0)),""))</f>
        <v/>
      </c>
      <c r="F28" t="str">
        <f>IF(OR($B28="",$J28=""),"",IFERROR(INDEX(CHOOSE($J28,prod_her!$A:$J,prod_ins!$A:$J,prod_fun!$A:$J,prod_fer!$A:$L),MATCH($B28,CHOOSE($J28,prod_her!$A:$A,prod_ins!$A:$A,prod_fun!$A:$A,prod_fer!$A:$A),0),MATCH(F$1,CHOOSE($J28,prod_her!$1:$1,prod_ins!$1:$1,prod_fun!$1:$1,prod_fer!$1:$1),0)),""))</f>
        <v/>
      </c>
      <c r="G28" t="str">
        <f>IF(OR($B28="",$J28=""),"",IFERROR(INDEX(CHOOSE($J28,prod_her!$A:$J,prod_ins!$A:$J,prod_fun!$A:$J,prod_fer!$A:$L),MATCH($B28,CHOOSE($J28,prod_her!$A:$A,prod_ins!$A:$A,prod_fun!$A:$A,prod_fer!$A:$A),0),MATCH(G$1,CHOOSE($J28,prod_her!$1:$1,prod_ins!$1:$1,prod_fun!$1:$1,prod_fer!$1:$1),0)),""))</f>
        <v/>
      </c>
      <c r="H28" s="6"/>
      <c r="I28" s="6"/>
      <c r="J28" t="str">
        <f>IFERROR(MATCH($C28,{"herbicide";"insecticide";"fungicide";"fertilizer"},0),"")</f>
        <v/>
      </c>
    </row>
    <row r="29" spans="1:10" x14ac:dyDescent="0.2">
      <c r="D29" t="str">
        <f>IF(OR($B29="",$J29=""),"",IFERROR(INDEX(CHOOSE($J29,prod_her!$A:$J,prod_ins!$A:$J,prod_fun!$A:$J,prod_fer!$A:$L),MATCH($B29,CHOOSE($J29,prod_her!$A:$A,prod_ins!$A:$A,prod_fun!$A:$A,prod_fer!$A:$A),0),MATCH(D$1,CHOOSE($J29,prod_her!$1:$1,prod_ins!$1:$1,prod_fun!$1:$1,prod_fer!$1:$1),0)),""))</f>
        <v/>
      </c>
      <c r="E29" t="str">
        <f>IF(OR($B29="",$J29=""),"",IFERROR(INDEX(CHOOSE($J29,prod_her!$A:$J,prod_ins!$A:$J,prod_fun!$A:$J,prod_fer!$A:$L),MATCH($B29,CHOOSE($J29,prod_her!$A:$A,prod_ins!$A:$A,prod_fun!$A:$A,prod_fer!$A:$A),0),MATCH(E$1,CHOOSE($J29,prod_her!$1:$1,prod_ins!$1:$1,prod_fun!$1:$1,prod_fer!$1:$1),0)),""))</f>
        <v/>
      </c>
      <c r="F29" t="str">
        <f>IF(OR($B29="",$J29=""),"",IFERROR(INDEX(CHOOSE($J29,prod_her!$A:$J,prod_ins!$A:$J,prod_fun!$A:$J,prod_fer!$A:$L),MATCH($B29,CHOOSE($J29,prod_her!$A:$A,prod_ins!$A:$A,prod_fun!$A:$A,prod_fer!$A:$A),0),MATCH(F$1,CHOOSE($J29,prod_her!$1:$1,prod_ins!$1:$1,prod_fun!$1:$1,prod_fer!$1:$1),0)),""))</f>
        <v/>
      </c>
      <c r="G29" t="str">
        <f>IF(OR($B29="",$J29=""),"",IFERROR(INDEX(CHOOSE($J29,prod_her!$A:$J,prod_ins!$A:$J,prod_fun!$A:$J,prod_fer!$A:$L),MATCH($B29,CHOOSE($J29,prod_her!$A:$A,prod_ins!$A:$A,prod_fun!$A:$A,prod_fer!$A:$A),0),MATCH(G$1,CHOOSE($J29,prod_her!$1:$1,prod_ins!$1:$1,prod_fun!$1:$1,prod_fer!$1:$1),0)),""))</f>
        <v/>
      </c>
      <c r="H29" s="6"/>
      <c r="I29" s="6"/>
      <c r="J29" t="str">
        <f>IFERROR(MATCH($C29,{"herbicide";"insecticide";"fungicide";"fertilizer"},0),"")</f>
        <v/>
      </c>
    </row>
    <row r="30" spans="1:10" x14ac:dyDescent="0.2">
      <c r="D30" t="str">
        <f>IF(OR($B30="",$J30=""),"",IFERROR(INDEX(CHOOSE($J30,prod_her!$A:$J,prod_ins!$A:$J,prod_fun!$A:$J,prod_fer!$A:$L),MATCH($B30,CHOOSE($J30,prod_her!$A:$A,prod_ins!$A:$A,prod_fun!$A:$A,prod_fer!$A:$A),0),MATCH(D$1,CHOOSE($J30,prod_her!$1:$1,prod_ins!$1:$1,prod_fun!$1:$1,prod_fer!$1:$1),0)),""))</f>
        <v/>
      </c>
      <c r="E30" t="str">
        <f>IF(OR($B30="",$J30=""),"",IFERROR(INDEX(CHOOSE($J30,prod_her!$A:$J,prod_ins!$A:$J,prod_fun!$A:$J,prod_fer!$A:$L),MATCH($B30,CHOOSE($J30,prod_her!$A:$A,prod_ins!$A:$A,prod_fun!$A:$A,prod_fer!$A:$A),0),MATCH(E$1,CHOOSE($J30,prod_her!$1:$1,prod_ins!$1:$1,prod_fun!$1:$1,prod_fer!$1:$1),0)),""))</f>
        <v/>
      </c>
      <c r="F30" t="str">
        <f>IF(OR($B30="",$J30=""),"",IFERROR(INDEX(CHOOSE($J30,prod_her!$A:$J,prod_ins!$A:$J,prod_fun!$A:$J,prod_fer!$A:$L),MATCH($B30,CHOOSE($J30,prod_her!$A:$A,prod_ins!$A:$A,prod_fun!$A:$A,prod_fer!$A:$A),0),MATCH(F$1,CHOOSE($J30,prod_her!$1:$1,prod_ins!$1:$1,prod_fun!$1:$1,prod_fer!$1:$1),0)),""))</f>
        <v/>
      </c>
      <c r="G30" t="str">
        <f>IF(OR($B30="",$J30=""),"",IFERROR(INDEX(CHOOSE($J30,prod_her!$A:$J,prod_ins!$A:$J,prod_fun!$A:$J,prod_fer!$A:$L),MATCH($B30,CHOOSE($J30,prod_her!$A:$A,prod_ins!$A:$A,prod_fun!$A:$A,prod_fer!$A:$A),0),MATCH(G$1,CHOOSE($J30,prod_her!$1:$1,prod_ins!$1:$1,prod_fun!$1:$1,prod_fer!$1:$1),0)),""))</f>
        <v/>
      </c>
      <c r="H30" s="6"/>
      <c r="I30" s="6"/>
      <c r="J30" t="str">
        <f>IFERROR(MATCH($C30,{"herbicide";"insecticide";"fungicide";"fertilizer"},0),"")</f>
        <v/>
      </c>
    </row>
    <row r="31" spans="1:10" x14ac:dyDescent="0.2">
      <c r="D31" t="str">
        <f>IF(OR($B31="",$J31=""),"",IFERROR(INDEX(CHOOSE($J31,prod_her!$A:$J,prod_ins!$A:$J,prod_fun!$A:$J,prod_fer!$A:$L),MATCH($B31,CHOOSE($J31,prod_her!$A:$A,prod_ins!$A:$A,prod_fun!$A:$A,prod_fer!$A:$A),0),MATCH(D$1,CHOOSE($J31,prod_her!$1:$1,prod_ins!$1:$1,prod_fun!$1:$1,prod_fer!$1:$1),0)),""))</f>
        <v/>
      </c>
      <c r="E31" t="str">
        <f>IF(OR($B31="",$J31=""),"",IFERROR(INDEX(CHOOSE($J31,prod_her!$A:$J,prod_ins!$A:$J,prod_fun!$A:$J,prod_fer!$A:$L),MATCH($B31,CHOOSE($J31,prod_her!$A:$A,prod_ins!$A:$A,prod_fun!$A:$A,prod_fer!$A:$A),0),MATCH(E$1,CHOOSE($J31,prod_her!$1:$1,prod_ins!$1:$1,prod_fun!$1:$1,prod_fer!$1:$1),0)),""))</f>
        <v/>
      </c>
      <c r="F31" t="str">
        <f>IF(OR($B31="",$J31=""),"",IFERROR(INDEX(CHOOSE($J31,prod_her!$A:$J,prod_ins!$A:$J,prod_fun!$A:$J,prod_fer!$A:$L),MATCH($B31,CHOOSE($J31,prod_her!$A:$A,prod_ins!$A:$A,prod_fun!$A:$A,prod_fer!$A:$A),0),MATCH(F$1,CHOOSE($J31,prod_her!$1:$1,prod_ins!$1:$1,prod_fun!$1:$1,prod_fer!$1:$1),0)),""))</f>
        <v/>
      </c>
      <c r="G31" t="str">
        <f>IF(OR($B31="",$J31=""),"",IFERROR(INDEX(CHOOSE($J31,prod_her!$A:$J,prod_ins!$A:$J,prod_fun!$A:$J,prod_fer!$A:$L),MATCH($B31,CHOOSE($J31,prod_her!$A:$A,prod_ins!$A:$A,prod_fun!$A:$A,prod_fer!$A:$A),0),MATCH(G$1,CHOOSE($J31,prod_her!$1:$1,prod_ins!$1:$1,prod_fun!$1:$1,prod_fer!$1:$1),0)),""))</f>
        <v/>
      </c>
      <c r="H31" s="6"/>
      <c r="I31" s="6"/>
      <c r="J31" t="str">
        <f>IFERROR(MATCH($C31,{"herbicide";"insecticide";"fungicide";"fertilizer"},0),"")</f>
        <v/>
      </c>
    </row>
    <row r="32" spans="1:10" x14ac:dyDescent="0.2">
      <c r="D32" t="str">
        <f>IF(OR($B32="",$J32=""),"",IFERROR(INDEX(CHOOSE($J32,prod_her!$A:$J,prod_ins!$A:$J,prod_fun!$A:$J,prod_fer!$A:$L),MATCH($B32,CHOOSE($J32,prod_her!$A:$A,prod_ins!$A:$A,prod_fun!$A:$A,prod_fer!$A:$A),0),MATCH(D$1,CHOOSE($J32,prod_her!$1:$1,prod_ins!$1:$1,prod_fun!$1:$1,prod_fer!$1:$1),0)),""))</f>
        <v/>
      </c>
      <c r="E32" t="str">
        <f>IF(OR($B32="",$J32=""),"",IFERROR(INDEX(CHOOSE($J32,prod_her!$A:$J,prod_ins!$A:$J,prod_fun!$A:$J,prod_fer!$A:$L),MATCH($B32,CHOOSE($J32,prod_her!$A:$A,prod_ins!$A:$A,prod_fun!$A:$A,prod_fer!$A:$A),0),MATCH(E$1,CHOOSE($J32,prod_her!$1:$1,prod_ins!$1:$1,prod_fun!$1:$1,prod_fer!$1:$1),0)),""))</f>
        <v/>
      </c>
      <c r="F32" t="str">
        <f>IF(OR($B32="",$J32=""),"",IFERROR(INDEX(CHOOSE($J32,prod_her!$A:$J,prod_ins!$A:$J,prod_fun!$A:$J,prod_fer!$A:$L),MATCH($B32,CHOOSE($J32,prod_her!$A:$A,prod_ins!$A:$A,prod_fun!$A:$A,prod_fer!$A:$A),0),MATCH(F$1,CHOOSE($J32,prod_her!$1:$1,prod_ins!$1:$1,prod_fun!$1:$1,prod_fer!$1:$1),0)),""))</f>
        <v/>
      </c>
      <c r="G32" t="str">
        <f>IF(OR($B32="",$J32=""),"",IFERROR(INDEX(CHOOSE($J32,prod_her!$A:$J,prod_ins!$A:$J,prod_fun!$A:$J,prod_fer!$A:$L),MATCH($B32,CHOOSE($J32,prod_her!$A:$A,prod_ins!$A:$A,prod_fun!$A:$A,prod_fer!$A:$A),0),MATCH(G$1,CHOOSE($J32,prod_her!$1:$1,prod_ins!$1:$1,prod_fun!$1:$1,prod_fer!$1:$1),0)),""))</f>
        <v/>
      </c>
      <c r="H32" s="6"/>
      <c r="I32" s="6"/>
      <c r="J32" t="str">
        <f>IFERROR(MATCH($C32,{"herbicide";"insecticide";"fungicide";"fertilizer"},0),"")</f>
        <v/>
      </c>
    </row>
    <row r="33" spans="4:10" x14ac:dyDescent="0.2">
      <c r="D33" t="str">
        <f>IF(OR($B33="",$J33=""),"",IFERROR(INDEX(CHOOSE($J33,prod_her!$A:$J,prod_ins!$A:$J,prod_fun!$A:$J,prod_fer!$A:$L),MATCH($B33,CHOOSE($J33,prod_her!$A:$A,prod_ins!$A:$A,prod_fun!$A:$A,prod_fer!$A:$A),0),MATCH(D$1,CHOOSE($J33,prod_her!$1:$1,prod_ins!$1:$1,prod_fun!$1:$1,prod_fer!$1:$1),0)),""))</f>
        <v/>
      </c>
      <c r="E33" t="str">
        <f>IF(OR($B33="",$J33=""),"",IFERROR(INDEX(CHOOSE($J33,prod_her!$A:$J,prod_ins!$A:$J,prod_fun!$A:$J,prod_fer!$A:$L),MATCH($B33,CHOOSE($J33,prod_her!$A:$A,prod_ins!$A:$A,prod_fun!$A:$A,prod_fer!$A:$A),0),MATCH(E$1,CHOOSE($J33,prod_her!$1:$1,prod_ins!$1:$1,prod_fun!$1:$1,prod_fer!$1:$1),0)),""))</f>
        <v/>
      </c>
      <c r="F33" t="str">
        <f>IF(OR($B33="",$J33=""),"",IFERROR(INDEX(CHOOSE($J33,prod_her!$A:$J,prod_ins!$A:$J,prod_fun!$A:$J,prod_fer!$A:$L),MATCH($B33,CHOOSE($J33,prod_her!$A:$A,prod_ins!$A:$A,prod_fun!$A:$A,prod_fer!$A:$A),0),MATCH(F$1,CHOOSE($J33,prod_her!$1:$1,prod_ins!$1:$1,prod_fun!$1:$1,prod_fer!$1:$1),0)),""))</f>
        <v/>
      </c>
      <c r="G33" t="str">
        <f>IF(OR($B33="",$J33=""),"",IFERROR(INDEX(CHOOSE($J33,prod_her!$A:$J,prod_ins!$A:$J,prod_fun!$A:$J,prod_fer!$A:$L),MATCH($B33,CHOOSE($J33,prod_her!$A:$A,prod_ins!$A:$A,prod_fun!$A:$A,prod_fer!$A:$A),0),MATCH(G$1,CHOOSE($J33,prod_her!$1:$1,prod_ins!$1:$1,prod_fun!$1:$1,prod_fer!$1:$1),0)),""))</f>
        <v/>
      </c>
      <c r="H33" s="6"/>
      <c r="I33" s="6"/>
      <c r="J33" t="str">
        <f>IFERROR(MATCH($C33,{"herbicide";"insecticide";"fungicide";"fertilizer"},0),"")</f>
        <v/>
      </c>
    </row>
    <row r="34" spans="4:10" x14ac:dyDescent="0.2">
      <c r="D34" t="str">
        <f>IF(OR($B34="",$J34=""),"",IFERROR(INDEX(CHOOSE($J34,prod_her!$A:$J,prod_ins!$A:$J,prod_fun!$A:$J,prod_fer!$A:$L),MATCH($B34,CHOOSE($J34,prod_her!$A:$A,prod_ins!$A:$A,prod_fun!$A:$A,prod_fer!$A:$A),0),MATCH(D$1,CHOOSE($J34,prod_her!$1:$1,prod_ins!$1:$1,prod_fun!$1:$1,prod_fer!$1:$1),0)),""))</f>
        <v/>
      </c>
      <c r="E34" t="str">
        <f>IF(OR($B34="",$J34=""),"",IFERROR(INDEX(CHOOSE($J34,prod_her!$A:$J,prod_ins!$A:$J,prod_fun!$A:$J,prod_fer!$A:$L),MATCH($B34,CHOOSE($J34,prod_her!$A:$A,prod_ins!$A:$A,prod_fun!$A:$A,prod_fer!$A:$A),0),MATCH(E$1,CHOOSE($J34,prod_her!$1:$1,prod_ins!$1:$1,prod_fun!$1:$1,prod_fer!$1:$1),0)),""))</f>
        <v/>
      </c>
      <c r="F34" t="str">
        <f>IF(OR($B34="",$J34=""),"",IFERROR(INDEX(CHOOSE($J34,prod_her!$A:$J,prod_ins!$A:$J,prod_fun!$A:$J,prod_fer!$A:$L),MATCH($B34,CHOOSE($J34,prod_her!$A:$A,prod_ins!$A:$A,prod_fun!$A:$A,prod_fer!$A:$A),0),MATCH(F$1,CHOOSE($J34,prod_her!$1:$1,prod_ins!$1:$1,prod_fun!$1:$1,prod_fer!$1:$1),0)),""))</f>
        <v/>
      </c>
      <c r="G34" t="str">
        <f>IF(OR($B34="",$J34=""),"",IFERROR(INDEX(CHOOSE($J34,prod_her!$A:$J,prod_ins!$A:$J,prod_fun!$A:$J,prod_fer!$A:$L),MATCH($B34,CHOOSE($J34,prod_her!$A:$A,prod_ins!$A:$A,prod_fun!$A:$A,prod_fer!$A:$A),0),MATCH(G$1,CHOOSE($J34,prod_her!$1:$1,prod_ins!$1:$1,prod_fun!$1:$1,prod_fer!$1:$1),0)),""))</f>
        <v/>
      </c>
      <c r="H34" s="6"/>
      <c r="I34" s="6"/>
      <c r="J34" t="str">
        <f>IFERROR(MATCH($C34,{"herbicide";"insecticide";"fungicide";"fertilizer"},0),"")</f>
        <v/>
      </c>
    </row>
    <row r="35" spans="4:10" x14ac:dyDescent="0.2">
      <c r="D35" t="str">
        <f>IF(OR($B35="",$J35=""),"",IFERROR(INDEX(CHOOSE($J35,prod_her!$A:$J,prod_ins!$A:$J,prod_fun!$A:$J,prod_fer!$A:$L),MATCH($B35,CHOOSE($J35,prod_her!$A:$A,prod_ins!$A:$A,prod_fun!$A:$A,prod_fer!$A:$A),0),MATCH(D$1,CHOOSE($J35,prod_her!$1:$1,prod_ins!$1:$1,prod_fun!$1:$1,prod_fer!$1:$1),0)),""))</f>
        <v/>
      </c>
      <c r="E35" t="str">
        <f>IF(OR($B35="",$J35=""),"",IFERROR(INDEX(CHOOSE($J35,prod_her!$A:$J,prod_ins!$A:$J,prod_fun!$A:$J,prod_fer!$A:$L),MATCH($B35,CHOOSE($J35,prod_her!$A:$A,prod_ins!$A:$A,prod_fun!$A:$A,prod_fer!$A:$A),0),MATCH(E$1,CHOOSE($J35,prod_her!$1:$1,prod_ins!$1:$1,prod_fun!$1:$1,prod_fer!$1:$1),0)),""))</f>
        <v/>
      </c>
      <c r="F35" t="str">
        <f>IF(OR($B35="",$J35=""),"",IFERROR(INDEX(CHOOSE($J35,prod_her!$A:$J,prod_ins!$A:$J,prod_fun!$A:$J,prod_fer!$A:$L),MATCH($B35,CHOOSE($J35,prod_her!$A:$A,prod_ins!$A:$A,prod_fun!$A:$A,prod_fer!$A:$A),0),MATCH(F$1,CHOOSE($J35,prod_her!$1:$1,prod_ins!$1:$1,prod_fun!$1:$1,prod_fer!$1:$1),0)),""))</f>
        <v/>
      </c>
      <c r="G35" t="str">
        <f>IF(OR($B35="",$J35=""),"",IFERROR(INDEX(CHOOSE($J35,prod_her!$A:$J,prod_ins!$A:$J,prod_fun!$A:$J,prod_fer!$A:$L),MATCH($B35,CHOOSE($J35,prod_her!$A:$A,prod_ins!$A:$A,prod_fun!$A:$A,prod_fer!$A:$A),0),MATCH(G$1,CHOOSE($J35,prod_her!$1:$1,prod_ins!$1:$1,prod_fun!$1:$1,prod_fer!$1:$1),0)),""))</f>
        <v/>
      </c>
      <c r="H35" s="6"/>
      <c r="I35" s="6"/>
      <c r="J35" t="str">
        <f>IFERROR(MATCH($C35,{"herbicide";"insecticide";"fungicide";"fertilizer"},0),"")</f>
        <v/>
      </c>
    </row>
    <row r="36" spans="4:10" x14ac:dyDescent="0.2">
      <c r="D36" t="str">
        <f>IF(OR($B36="",$J36=""),"",IFERROR(INDEX(CHOOSE($J36,prod_her!$A:$J,prod_ins!$A:$J,prod_fun!$A:$J,prod_fer!$A:$L),MATCH($B36,CHOOSE($J36,prod_her!$A:$A,prod_ins!$A:$A,prod_fun!$A:$A,prod_fer!$A:$A),0),MATCH(D$1,CHOOSE($J36,prod_her!$1:$1,prod_ins!$1:$1,prod_fun!$1:$1,prod_fer!$1:$1),0)),""))</f>
        <v/>
      </c>
      <c r="E36" t="str">
        <f>IF(OR($B36="",$J36=""),"",IFERROR(INDEX(CHOOSE($J36,prod_her!$A:$J,prod_ins!$A:$J,prod_fun!$A:$J,prod_fer!$A:$L),MATCH($B36,CHOOSE($J36,prod_her!$A:$A,prod_ins!$A:$A,prod_fun!$A:$A,prod_fer!$A:$A),0),MATCH(E$1,CHOOSE($J36,prod_her!$1:$1,prod_ins!$1:$1,prod_fun!$1:$1,prod_fer!$1:$1),0)),""))</f>
        <v/>
      </c>
      <c r="F36" t="str">
        <f>IF(OR($B36="",$J36=""),"",IFERROR(INDEX(CHOOSE($J36,prod_her!$A:$J,prod_ins!$A:$J,prod_fun!$A:$J,prod_fer!$A:$L),MATCH($B36,CHOOSE($J36,prod_her!$A:$A,prod_ins!$A:$A,prod_fun!$A:$A,prod_fer!$A:$A),0),MATCH(F$1,CHOOSE($J36,prod_her!$1:$1,prod_ins!$1:$1,prod_fun!$1:$1,prod_fer!$1:$1),0)),""))</f>
        <v/>
      </c>
      <c r="G36" t="str">
        <f>IF(OR($B36="",$J36=""),"",IFERROR(INDEX(CHOOSE($J36,prod_her!$A:$J,prod_ins!$A:$J,prod_fun!$A:$J,prod_fer!$A:$L),MATCH($B36,CHOOSE($J36,prod_her!$A:$A,prod_ins!$A:$A,prod_fun!$A:$A,prod_fer!$A:$A),0),MATCH(G$1,CHOOSE($J36,prod_her!$1:$1,prod_ins!$1:$1,prod_fun!$1:$1,prod_fer!$1:$1),0)),""))</f>
        <v/>
      </c>
      <c r="H36" s="6"/>
      <c r="I36" s="6"/>
      <c r="J36" t="str">
        <f>IFERROR(MATCH($C36,{"herbicide";"insecticide";"fungicide";"fertilizer"},0),"")</f>
        <v/>
      </c>
    </row>
    <row r="37" spans="4:10" x14ac:dyDescent="0.2">
      <c r="D37" t="str">
        <f>IF(OR($B37="",$J37=""),"",IFERROR(INDEX(CHOOSE($J37,prod_her!$A:$J,prod_ins!$A:$J,prod_fun!$A:$J,prod_fer!$A:$L),MATCH($B37,CHOOSE($J37,prod_her!$A:$A,prod_ins!$A:$A,prod_fun!$A:$A,prod_fer!$A:$A),0),MATCH(D$1,CHOOSE($J37,prod_her!$1:$1,prod_ins!$1:$1,prod_fun!$1:$1,prod_fer!$1:$1),0)),""))</f>
        <v/>
      </c>
      <c r="E37" t="str">
        <f>IF(OR($B37="",$J37=""),"",IFERROR(INDEX(CHOOSE($J37,prod_her!$A:$J,prod_ins!$A:$J,prod_fun!$A:$J,prod_fer!$A:$L),MATCH($B37,CHOOSE($J37,prod_her!$A:$A,prod_ins!$A:$A,prod_fun!$A:$A,prod_fer!$A:$A),0),MATCH(E$1,CHOOSE($J37,prod_her!$1:$1,prod_ins!$1:$1,prod_fun!$1:$1,prod_fer!$1:$1),0)),""))</f>
        <v/>
      </c>
      <c r="F37" t="str">
        <f>IF(OR($B37="",$J37=""),"",IFERROR(INDEX(CHOOSE($J37,prod_her!$A:$J,prod_ins!$A:$J,prod_fun!$A:$J,prod_fer!$A:$L),MATCH($B37,CHOOSE($J37,prod_her!$A:$A,prod_ins!$A:$A,prod_fun!$A:$A,prod_fer!$A:$A),0),MATCH(F$1,CHOOSE($J37,prod_her!$1:$1,prod_ins!$1:$1,prod_fun!$1:$1,prod_fer!$1:$1),0)),""))</f>
        <v/>
      </c>
      <c r="G37" t="str">
        <f>IF(OR($B37="",$J37=""),"",IFERROR(INDEX(CHOOSE($J37,prod_her!$A:$J,prod_ins!$A:$J,prod_fun!$A:$J,prod_fer!$A:$L),MATCH($B37,CHOOSE($J37,prod_her!$A:$A,prod_ins!$A:$A,prod_fun!$A:$A,prod_fer!$A:$A),0),MATCH(G$1,CHOOSE($J37,prod_her!$1:$1,prod_ins!$1:$1,prod_fun!$1:$1,prod_fer!$1:$1),0)),""))</f>
        <v/>
      </c>
      <c r="H37" s="6"/>
      <c r="I37" s="6"/>
      <c r="J37" t="str">
        <f>IFERROR(MATCH($C37,{"herbicide";"insecticide";"fungicide";"fertilizer"},0),"")</f>
        <v/>
      </c>
    </row>
    <row r="38" spans="4:10" x14ac:dyDescent="0.2">
      <c r="D38" t="str">
        <f>IF(OR($B38="",$J38=""),"",IFERROR(INDEX(CHOOSE($J38,prod_her!$A:$J,prod_ins!$A:$J,prod_fun!$A:$J,prod_fer!$A:$L),MATCH($B38,CHOOSE($J38,prod_her!$A:$A,prod_ins!$A:$A,prod_fun!$A:$A,prod_fer!$A:$A),0),MATCH(D$1,CHOOSE($J38,prod_her!$1:$1,prod_ins!$1:$1,prod_fun!$1:$1,prod_fer!$1:$1),0)),""))</f>
        <v/>
      </c>
      <c r="E38" t="str">
        <f>IF(OR($B38="",$J38=""),"",IFERROR(INDEX(CHOOSE($J38,prod_her!$A:$J,prod_ins!$A:$J,prod_fun!$A:$J,prod_fer!$A:$L),MATCH($B38,CHOOSE($J38,prod_her!$A:$A,prod_ins!$A:$A,prod_fun!$A:$A,prod_fer!$A:$A),0),MATCH(E$1,CHOOSE($J38,prod_her!$1:$1,prod_ins!$1:$1,prod_fun!$1:$1,prod_fer!$1:$1),0)),""))</f>
        <v/>
      </c>
      <c r="F38" t="str">
        <f>IF(OR($B38="",$J38=""),"",IFERROR(INDEX(CHOOSE($J38,prod_her!$A:$J,prod_ins!$A:$J,prod_fun!$A:$J,prod_fer!$A:$L),MATCH($B38,CHOOSE($J38,prod_her!$A:$A,prod_ins!$A:$A,prod_fun!$A:$A,prod_fer!$A:$A),0),MATCH(F$1,CHOOSE($J38,prod_her!$1:$1,prod_ins!$1:$1,prod_fun!$1:$1,prod_fer!$1:$1),0)),""))</f>
        <v/>
      </c>
      <c r="G38" t="str">
        <f>IF(OR($B38="",$J38=""),"",IFERROR(INDEX(CHOOSE($J38,prod_her!$A:$J,prod_ins!$A:$J,prod_fun!$A:$J,prod_fer!$A:$L),MATCH($B38,CHOOSE($J38,prod_her!$A:$A,prod_ins!$A:$A,prod_fun!$A:$A,prod_fer!$A:$A),0),MATCH(G$1,CHOOSE($J38,prod_her!$1:$1,prod_ins!$1:$1,prod_fun!$1:$1,prod_fer!$1:$1),0)),""))</f>
        <v/>
      </c>
      <c r="H38" s="6"/>
      <c r="I38" s="6"/>
      <c r="J38" t="str">
        <f>IFERROR(MATCH($C38,{"herbicide";"insecticide";"fungicide";"fertilizer"},0),"")</f>
        <v/>
      </c>
    </row>
    <row r="39" spans="4:10" x14ac:dyDescent="0.2">
      <c r="D39" t="str">
        <f>IF(OR($B39="",$J39=""),"",IFERROR(INDEX(CHOOSE($J39,prod_her!$A:$J,prod_ins!$A:$J,prod_fun!$A:$J,prod_fer!$A:$L),MATCH($B39,CHOOSE($J39,prod_her!$A:$A,prod_ins!$A:$A,prod_fun!$A:$A,prod_fer!$A:$A),0),MATCH(D$1,CHOOSE($J39,prod_her!$1:$1,prod_ins!$1:$1,prod_fun!$1:$1,prod_fer!$1:$1),0)),""))</f>
        <v/>
      </c>
      <c r="E39" t="str">
        <f>IF(OR($B39="",$J39=""),"",IFERROR(INDEX(CHOOSE($J39,prod_her!$A:$J,prod_ins!$A:$J,prod_fun!$A:$J,prod_fer!$A:$L),MATCH($B39,CHOOSE($J39,prod_her!$A:$A,prod_ins!$A:$A,prod_fun!$A:$A,prod_fer!$A:$A),0),MATCH(E$1,CHOOSE($J39,prod_her!$1:$1,prod_ins!$1:$1,prod_fun!$1:$1,prod_fer!$1:$1),0)),""))</f>
        <v/>
      </c>
      <c r="F39" t="str">
        <f>IF(OR($B39="",$J39=""),"",IFERROR(INDEX(CHOOSE($J39,prod_her!$A:$J,prod_ins!$A:$J,prod_fun!$A:$J,prod_fer!$A:$L),MATCH($B39,CHOOSE($J39,prod_her!$A:$A,prod_ins!$A:$A,prod_fun!$A:$A,prod_fer!$A:$A),0),MATCH(F$1,CHOOSE($J39,prod_her!$1:$1,prod_ins!$1:$1,prod_fun!$1:$1,prod_fer!$1:$1),0)),""))</f>
        <v/>
      </c>
      <c r="G39" t="str">
        <f>IF(OR($B39="",$J39=""),"",IFERROR(INDEX(CHOOSE($J39,prod_her!$A:$J,prod_ins!$A:$J,prod_fun!$A:$J,prod_fer!$A:$L),MATCH($B39,CHOOSE($J39,prod_her!$A:$A,prod_ins!$A:$A,prod_fun!$A:$A,prod_fer!$A:$A),0),MATCH(G$1,CHOOSE($J39,prod_her!$1:$1,prod_ins!$1:$1,prod_fun!$1:$1,prod_fer!$1:$1),0)),""))</f>
        <v/>
      </c>
      <c r="H39" s="6"/>
      <c r="I39" s="6"/>
      <c r="J39" t="str">
        <f>IFERROR(MATCH($C39,{"herbicide";"insecticide";"fungicide";"fertilizer"},0),"")</f>
        <v/>
      </c>
    </row>
    <row r="40" spans="4:10" x14ac:dyDescent="0.2">
      <c r="D40" t="str">
        <f>IF(OR($B40="",$J40=""),"",IFERROR(INDEX(CHOOSE($J40,prod_her!$A:$J,prod_ins!$A:$J,prod_fun!$A:$J,prod_fer!$A:$L),MATCH($B40,CHOOSE($J40,prod_her!$A:$A,prod_ins!$A:$A,prod_fun!$A:$A,prod_fer!$A:$A),0),MATCH(D$1,CHOOSE($J40,prod_her!$1:$1,prod_ins!$1:$1,prod_fun!$1:$1,prod_fer!$1:$1),0)),""))</f>
        <v/>
      </c>
      <c r="E40" t="str">
        <f>IF(OR($B40="",$J40=""),"",IFERROR(INDEX(CHOOSE($J40,prod_her!$A:$J,prod_ins!$A:$J,prod_fun!$A:$J,prod_fer!$A:$L),MATCH($B40,CHOOSE($J40,prod_her!$A:$A,prod_ins!$A:$A,prod_fun!$A:$A,prod_fer!$A:$A),0),MATCH(E$1,CHOOSE($J40,prod_her!$1:$1,prod_ins!$1:$1,prod_fun!$1:$1,prod_fer!$1:$1),0)),""))</f>
        <v/>
      </c>
      <c r="F40" t="str">
        <f>IF(OR($B40="",$J40=""),"",IFERROR(INDEX(CHOOSE($J40,prod_her!$A:$J,prod_ins!$A:$J,prod_fun!$A:$J,prod_fer!$A:$L),MATCH($B40,CHOOSE($J40,prod_her!$A:$A,prod_ins!$A:$A,prod_fun!$A:$A,prod_fer!$A:$A),0),MATCH(F$1,CHOOSE($J40,prod_her!$1:$1,prod_ins!$1:$1,prod_fun!$1:$1,prod_fer!$1:$1),0)),""))</f>
        <v/>
      </c>
      <c r="G40" t="str">
        <f>IF(OR($B40="",$J40=""),"",IFERROR(INDEX(CHOOSE($J40,prod_her!$A:$J,prod_ins!$A:$J,prod_fun!$A:$J,prod_fer!$A:$L),MATCH($B40,CHOOSE($J40,prod_her!$A:$A,prod_ins!$A:$A,prod_fun!$A:$A,prod_fer!$A:$A),0),MATCH(G$1,CHOOSE($J40,prod_her!$1:$1,prod_ins!$1:$1,prod_fun!$1:$1,prod_fer!$1:$1),0)),""))</f>
        <v/>
      </c>
      <c r="H40" s="6"/>
      <c r="I40" s="6"/>
      <c r="J40" t="str">
        <f>IFERROR(MATCH($C40,{"herbicide";"insecticide";"fungicide";"fertilizer"},0),"")</f>
        <v/>
      </c>
    </row>
    <row r="41" spans="4:10" x14ac:dyDescent="0.2">
      <c r="D41" t="str">
        <f>IF(OR($B41="",$J41=""),"",IFERROR(INDEX(CHOOSE($J41,prod_her!$A:$J,prod_ins!$A:$J,prod_fun!$A:$J,prod_fer!$A:$L),MATCH($B41,CHOOSE($J41,prod_her!$A:$A,prod_ins!$A:$A,prod_fun!$A:$A,prod_fer!$A:$A),0),MATCH(D$1,CHOOSE($J41,prod_her!$1:$1,prod_ins!$1:$1,prod_fun!$1:$1,prod_fer!$1:$1),0)),""))</f>
        <v/>
      </c>
      <c r="E41" t="str">
        <f>IF(OR($B41="",$J41=""),"",IFERROR(INDEX(CHOOSE($J41,prod_her!$A:$J,prod_ins!$A:$J,prod_fun!$A:$J,prod_fer!$A:$L),MATCH($B41,CHOOSE($J41,prod_her!$A:$A,prod_ins!$A:$A,prod_fun!$A:$A,prod_fer!$A:$A),0),MATCH(E$1,CHOOSE($J41,prod_her!$1:$1,prod_ins!$1:$1,prod_fun!$1:$1,prod_fer!$1:$1),0)),""))</f>
        <v/>
      </c>
      <c r="F41" t="str">
        <f>IF(OR($B41="",$J41=""),"",IFERROR(INDEX(CHOOSE($J41,prod_her!$A:$J,prod_ins!$A:$J,prod_fun!$A:$J,prod_fer!$A:$L),MATCH($B41,CHOOSE($J41,prod_her!$A:$A,prod_ins!$A:$A,prod_fun!$A:$A,prod_fer!$A:$A),0),MATCH(F$1,CHOOSE($J41,prod_her!$1:$1,prod_ins!$1:$1,prod_fun!$1:$1,prod_fer!$1:$1),0)),""))</f>
        <v/>
      </c>
      <c r="G41" t="str">
        <f>IF(OR($B41="",$J41=""),"",IFERROR(INDEX(CHOOSE($J41,prod_her!$A:$J,prod_ins!$A:$J,prod_fun!$A:$J,prod_fer!$A:$L),MATCH($B41,CHOOSE($J41,prod_her!$A:$A,prod_ins!$A:$A,prod_fun!$A:$A,prod_fer!$A:$A),0),MATCH(G$1,CHOOSE($J41,prod_her!$1:$1,prod_ins!$1:$1,prod_fun!$1:$1,prod_fer!$1:$1),0)),""))</f>
        <v/>
      </c>
      <c r="H41" s="6"/>
      <c r="I41" s="6"/>
      <c r="J41" t="str">
        <f>IFERROR(MATCH($C41,{"herbicide";"insecticide";"fungicide";"fertilizer"},0),"")</f>
        <v/>
      </c>
    </row>
    <row r="42" spans="4:10" x14ac:dyDescent="0.2">
      <c r="D42" t="str">
        <f>IF(OR($B42="",$J42=""),"",IFERROR(INDEX(CHOOSE($J42,prod_her!$A:$J,prod_ins!$A:$J,prod_fun!$A:$J,prod_fer!$A:$L),MATCH($B42,CHOOSE($J42,prod_her!$A:$A,prod_ins!$A:$A,prod_fun!$A:$A,prod_fer!$A:$A),0),MATCH(D$1,CHOOSE($J42,prod_her!$1:$1,prod_ins!$1:$1,prod_fun!$1:$1,prod_fer!$1:$1),0)),""))</f>
        <v/>
      </c>
      <c r="E42" t="str">
        <f>IF(OR($B42="",$J42=""),"",IFERROR(INDEX(CHOOSE($J42,prod_her!$A:$J,prod_ins!$A:$J,prod_fun!$A:$J,prod_fer!$A:$L),MATCH($B42,CHOOSE($J42,prod_her!$A:$A,prod_ins!$A:$A,prod_fun!$A:$A,prod_fer!$A:$A),0),MATCH(E$1,CHOOSE($J42,prod_her!$1:$1,prod_ins!$1:$1,prod_fun!$1:$1,prod_fer!$1:$1),0)),""))</f>
        <v/>
      </c>
      <c r="F42" t="str">
        <f>IF(OR($B42="",$J42=""),"",IFERROR(INDEX(CHOOSE($J42,prod_her!$A:$J,prod_ins!$A:$J,prod_fun!$A:$J,prod_fer!$A:$L),MATCH($B42,CHOOSE($J42,prod_her!$A:$A,prod_ins!$A:$A,prod_fun!$A:$A,prod_fer!$A:$A),0),MATCH(F$1,CHOOSE($J42,prod_her!$1:$1,prod_ins!$1:$1,prod_fun!$1:$1,prod_fer!$1:$1),0)),""))</f>
        <v/>
      </c>
      <c r="G42" t="str">
        <f>IF(OR($B42="",$J42=""),"",IFERROR(INDEX(CHOOSE($J42,prod_her!$A:$J,prod_ins!$A:$J,prod_fun!$A:$J,prod_fer!$A:$L),MATCH($B42,CHOOSE($J42,prod_her!$A:$A,prod_ins!$A:$A,prod_fun!$A:$A,prod_fer!$A:$A),0),MATCH(G$1,CHOOSE($J42,prod_her!$1:$1,prod_ins!$1:$1,prod_fun!$1:$1,prod_fer!$1:$1),0)),""))</f>
        <v/>
      </c>
      <c r="H42" s="6"/>
      <c r="I42" s="6"/>
      <c r="J42" t="str">
        <f>IFERROR(MATCH($C42,{"herbicide";"insecticide";"fungicide";"fertilizer"},0),"")</f>
        <v/>
      </c>
    </row>
    <row r="43" spans="4:10" x14ac:dyDescent="0.2">
      <c r="D43" t="str">
        <f>IF(OR($B43="",$J43=""),"",IFERROR(INDEX(CHOOSE($J43,prod_her!$A:$J,prod_ins!$A:$J,prod_fun!$A:$J,prod_fer!$A:$L),MATCH($B43,CHOOSE($J43,prod_her!$A:$A,prod_ins!$A:$A,prod_fun!$A:$A,prod_fer!$A:$A),0),MATCH(D$1,CHOOSE($J43,prod_her!$1:$1,prod_ins!$1:$1,prod_fun!$1:$1,prod_fer!$1:$1),0)),""))</f>
        <v/>
      </c>
      <c r="E43" t="str">
        <f>IF(OR($B43="",$J43=""),"",IFERROR(INDEX(CHOOSE($J43,prod_her!$A:$J,prod_ins!$A:$J,prod_fun!$A:$J,prod_fer!$A:$L),MATCH($B43,CHOOSE($J43,prod_her!$A:$A,prod_ins!$A:$A,prod_fun!$A:$A,prod_fer!$A:$A),0),MATCH(E$1,CHOOSE($J43,prod_her!$1:$1,prod_ins!$1:$1,prod_fun!$1:$1,prod_fer!$1:$1),0)),""))</f>
        <v/>
      </c>
      <c r="F43" t="str">
        <f>IF(OR($B43="",$J43=""),"",IFERROR(INDEX(CHOOSE($J43,prod_her!$A:$J,prod_ins!$A:$J,prod_fun!$A:$J,prod_fer!$A:$L),MATCH($B43,CHOOSE($J43,prod_her!$A:$A,prod_ins!$A:$A,prod_fun!$A:$A,prod_fer!$A:$A),0),MATCH(F$1,CHOOSE($J43,prod_her!$1:$1,prod_ins!$1:$1,prod_fun!$1:$1,prod_fer!$1:$1),0)),""))</f>
        <v/>
      </c>
      <c r="G43" t="str">
        <f>IF(OR($B43="",$J43=""),"",IFERROR(INDEX(CHOOSE($J43,prod_her!$A:$J,prod_ins!$A:$J,prod_fun!$A:$J,prod_fer!$A:$L),MATCH($B43,CHOOSE($J43,prod_her!$A:$A,prod_ins!$A:$A,prod_fun!$A:$A,prod_fer!$A:$A),0),MATCH(G$1,CHOOSE($J43,prod_her!$1:$1,prod_ins!$1:$1,prod_fun!$1:$1,prod_fer!$1:$1),0)),""))</f>
        <v/>
      </c>
      <c r="H43" s="6"/>
      <c r="I43" s="6"/>
      <c r="J43" t="str">
        <f>IFERROR(MATCH($C43,{"herbicide";"insecticide";"fungicide";"fertilizer"},0),"")</f>
        <v/>
      </c>
    </row>
    <row r="44" spans="4:10" x14ac:dyDescent="0.2">
      <c r="D44" t="str">
        <f>IF(OR($B44="",$J44=""),"",IFERROR(INDEX(CHOOSE($J44,prod_her!$A:$J,prod_ins!$A:$J,prod_fun!$A:$J,prod_fer!$A:$L),MATCH($B44,CHOOSE($J44,prod_her!$A:$A,prod_ins!$A:$A,prod_fun!$A:$A,prod_fer!$A:$A),0),MATCH(D$1,CHOOSE($J44,prod_her!$1:$1,prod_ins!$1:$1,prod_fun!$1:$1,prod_fer!$1:$1),0)),""))</f>
        <v/>
      </c>
      <c r="E44" t="str">
        <f>IF(OR($B44="",$J44=""),"",IFERROR(INDEX(CHOOSE($J44,prod_her!$A:$J,prod_ins!$A:$J,prod_fun!$A:$J,prod_fer!$A:$L),MATCH($B44,CHOOSE($J44,prod_her!$A:$A,prod_ins!$A:$A,prod_fun!$A:$A,prod_fer!$A:$A),0),MATCH(E$1,CHOOSE($J44,prod_her!$1:$1,prod_ins!$1:$1,prod_fun!$1:$1,prod_fer!$1:$1),0)),""))</f>
        <v/>
      </c>
      <c r="F44" t="str">
        <f>IF(OR($B44="",$J44=""),"",IFERROR(INDEX(CHOOSE($J44,prod_her!$A:$J,prod_ins!$A:$J,prod_fun!$A:$J,prod_fer!$A:$L),MATCH($B44,CHOOSE($J44,prod_her!$A:$A,prod_ins!$A:$A,prod_fun!$A:$A,prod_fer!$A:$A),0),MATCH(F$1,CHOOSE($J44,prod_her!$1:$1,prod_ins!$1:$1,prod_fun!$1:$1,prod_fer!$1:$1),0)),""))</f>
        <v/>
      </c>
      <c r="G44" t="str">
        <f>IF(OR($B44="",$J44=""),"",IFERROR(INDEX(CHOOSE($J44,prod_her!$A:$J,prod_ins!$A:$J,prod_fun!$A:$J,prod_fer!$A:$L),MATCH($B44,CHOOSE($J44,prod_her!$A:$A,prod_ins!$A:$A,prod_fun!$A:$A,prod_fer!$A:$A),0),MATCH(G$1,CHOOSE($J44,prod_her!$1:$1,prod_ins!$1:$1,prod_fun!$1:$1,prod_fer!$1:$1),0)),""))</f>
        <v/>
      </c>
      <c r="H44" s="6"/>
      <c r="I44" s="6"/>
      <c r="J44" t="str">
        <f>IFERROR(MATCH($C44,{"herbicide";"insecticide";"fungicide";"fertilizer"},0),"")</f>
        <v/>
      </c>
    </row>
    <row r="45" spans="4:10" x14ac:dyDescent="0.2">
      <c r="D45" t="str">
        <f>IF(OR($B45="",$J45=""),"",IFERROR(INDEX(CHOOSE($J45,prod_her!$A:$J,prod_ins!$A:$J,prod_fun!$A:$J,prod_fer!$A:$L),MATCH($B45,CHOOSE($J45,prod_her!$A:$A,prod_ins!$A:$A,prod_fun!$A:$A,prod_fer!$A:$A),0),MATCH(D$1,CHOOSE($J45,prod_her!$1:$1,prod_ins!$1:$1,prod_fun!$1:$1,prod_fer!$1:$1),0)),""))</f>
        <v/>
      </c>
      <c r="E45" t="str">
        <f>IF(OR($B45="",$J45=""),"",IFERROR(INDEX(CHOOSE($J45,prod_her!$A:$J,prod_ins!$A:$J,prod_fun!$A:$J,prod_fer!$A:$L),MATCH($B45,CHOOSE($J45,prod_her!$A:$A,prod_ins!$A:$A,prod_fun!$A:$A,prod_fer!$A:$A),0),MATCH(E$1,CHOOSE($J45,prod_her!$1:$1,prod_ins!$1:$1,prod_fun!$1:$1,prod_fer!$1:$1),0)),""))</f>
        <v/>
      </c>
      <c r="F45" t="str">
        <f>IF(OR($B45="",$J45=""),"",IFERROR(INDEX(CHOOSE($J45,prod_her!$A:$J,prod_ins!$A:$J,prod_fun!$A:$J,prod_fer!$A:$L),MATCH($B45,CHOOSE($J45,prod_her!$A:$A,prod_ins!$A:$A,prod_fun!$A:$A,prod_fer!$A:$A),0),MATCH(F$1,CHOOSE($J45,prod_her!$1:$1,prod_ins!$1:$1,prod_fun!$1:$1,prod_fer!$1:$1),0)),""))</f>
        <v/>
      </c>
      <c r="G45" t="str">
        <f>IF(OR($B45="",$J45=""),"",IFERROR(INDEX(CHOOSE($J45,prod_her!$A:$J,prod_ins!$A:$J,prod_fun!$A:$J,prod_fer!$A:$L),MATCH($B45,CHOOSE($J45,prod_her!$A:$A,prod_ins!$A:$A,prod_fun!$A:$A,prod_fer!$A:$A),0),MATCH(G$1,CHOOSE($J45,prod_her!$1:$1,prod_ins!$1:$1,prod_fun!$1:$1,prod_fer!$1:$1),0)),""))</f>
        <v/>
      </c>
      <c r="H45" s="6"/>
      <c r="I45" s="6"/>
      <c r="J45" t="str">
        <f>IFERROR(MATCH($C45,{"herbicide";"insecticide";"fungicide";"fertilizer"},0),"")</f>
        <v/>
      </c>
    </row>
    <row r="46" spans="4:10" x14ac:dyDescent="0.2">
      <c r="D46" t="str">
        <f>IF(OR($B46="",$J46=""),"",IFERROR(INDEX(CHOOSE($J46,prod_her!$A:$J,prod_ins!$A:$J,prod_fun!$A:$J,prod_fer!$A:$L),MATCH($B46,CHOOSE($J46,prod_her!$A:$A,prod_ins!$A:$A,prod_fun!$A:$A,prod_fer!$A:$A),0),MATCH(D$1,CHOOSE($J46,prod_her!$1:$1,prod_ins!$1:$1,prod_fun!$1:$1,prod_fer!$1:$1),0)),""))</f>
        <v/>
      </c>
      <c r="E46" t="str">
        <f>IF(OR($B46="",$J46=""),"",IFERROR(INDEX(CHOOSE($J46,prod_her!$A:$J,prod_ins!$A:$J,prod_fun!$A:$J,prod_fer!$A:$L),MATCH($B46,CHOOSE($J46,prod_her!$A:$A,prod_ins!$A:$A,prod_fun!$A:$A,prod_fer!$A:$A),0),MATCH(E$1,CHOOSE($J46,prod_her!$1:$1,prod_ins!$1:$1,prod_fun!$1:$1,prod_fer!$1:$1),0)),""))</f>
        <v/>
      </c>
      <c r="F46" t="str">
        <f>IF(OR($B46="",$J46=""),"",IFERROR(INDEX(CHOOSE($J46,prod_her!$A:$J,prod_ins!$A:$J,prod_fun!$A:$J,prod_fer!$A:$L),MATCH($B46,CHOOSE($J46,prod_her!$A:$A,prod_ins!$A:$A,prod_fun!$A:$A,prod_fer!$A:$A),0),MATCH(F$1,CHOOSE($J46,prod_her!$1:$1,prod_ins!$1:$1,prod_fun!$1:$1,prod_fer!$1:$1),0)),""))</f>
        <v/>
      </c>
      <c r="G46" t="str">
        <f>IF(OR($B46="",$J46=""),"",IFERROR(INDEX(CHOOSE($J46,prod_her!$A:$J,prod_ins!$A:$J,prod_fun!$A:$J,prod_fer!$A:$L),MATCH($B46,CHOOSE($J46,prod_her!$A:$A,prod_ins!$A:$A,prod_fun!$A:$A,prod_fer!$A:$A),0),MATCH(G$1,CHOOSE($J46,prod_her!$1:$1,prod_ins!$1:$1,prod_fun!$1:$1,prod_fer!$1:$1),0)),""))</f>
        <v/>
      </c>
      <c r="H46" s="6"/>
      <c r="I46" s="6"/>
      <c r="J46" t="str">
        <f>IFERROR(MATCH($C46,{"herbicide";"insecticide";"fungicide";"fertilizer"},0),"")</f>
        <v/>
      </c>
    </row>
    <row r="47" spans="4:10" x14ac:dyDescent="0.2">
      <c r="D47" t="str">
        <f>IF(OR($B47="",$J47=""),"",IFERROR(INDEX(CHOOSE($J47,prod_her!$A:$J,prod_ins!$A:$J,prod_fun!$A:$J,prod_fer!$A:$L),MATCH($B47,CHOOSE($J47,prod_her!$A:$A,prod_ins!$A:$A,prod_fun!$A:$A,prod_fer!$A:$A),0),MATCH(D$1,CHOOSE($J47,prod_her!$1:$1,prod_ins!$1:$1,prod_fun!$1:$1,prod_fer!$1:$1),0)),""))</f>
        <v/>
      </c>
      <c r="E47" t="str">
        <f>IF(OR($B47="",$J47=""),"",IFERROR(INDEX(CHOOSE($J47,prod_her!$A:$J,prod_ins!$A:$J,prod_fun!$A:$J,prod_fer!$A:$L),MATCH($B47,CHOOSE($J47,prod_her!$A:$A,prod_ins!$A:$A,prod_fun!$A:$A,prod_fer!$A:$A),0),MATCH(E$1,CHOOSE($J47,prod_her!$1:$1,prod_ins!$1:$1,prod_fun!$1:$1,prod_fer!$1:$1),0)),""))</f>
        <v/>
      </c>
      <c r="F47" t="str">
        <f>IF(OR($B47="",$J47=""),"",IFERROR(INDEX(CHOOSE($J47,prod_her!$A:$J,prod_ins!$A:$J,prod_fun!$A:$J,prod_fer!$A:$L),MATCH($B47,CHOOSE($J47,prod_her!$A:$A,prod_ins!$A:$A,prod_fun!$A:$A,prod_fer!$A:$A),0),MATCH(F$1,CHOOSE($J47,prod_her!$1:$1,prod_ins!$1:$1,prod_fun!$1:$1,prod_fer!$1:$1),0)),""))</f>
        <v/>
      </c>
      <c r="G47" t="str">
        <f>IF(OR($B47="",$J47=""),"",IFERROR(INDEX(CHOOSE($J47,prod_her!$A:$J,prod_ins!$A:$J,prod_fun!$A:$J,prod_fer!$A:$L),MATCH($B47,CHOOSE($J47,prod_her!$A:$A,prod_ins!$A:$A,prod_fun!$A:$A,prod_fer!$A:$A),0),MATCH(G$1,CHOOSE($J47,prod_her!$1:$1,prod_ins!$1:$1,prod_fun!$1:$1,prod_fer!$1:$1),0)),""))</f>
        <v/>
      </c>
      <c r="H47" s="6"/>
      <c r="I47" s="6"/>
      <c r="J47" t="str">
        <f>IFERROR(MATCH($C47,{"herbicide";"insecticide";"fungicide";"fertilizer"},0),"")</f>
        <v/>
      </c>
    </row>
    <row r="48" spans="4:10" x14ac:dyDescent="0.2">
      <c r="D48" t="str">
        <f>IF(OR($B48="",$J48=""),"",IFERROR(INDEX(CHOOSE($J48,prod_her!$A:$J,prod_ins!$A:$J,prod_fun!$A:$J,prod_fer!$A:$L),MATCH($B48,CHOOSE($J48,prod_her!$A:$A,prod_ins!$A:$A,prod_fun!$A:$A,prod_fer!$A:$A),0),MATCH(D$1,CHOOSE($J48,prod_her!$1:$1,prod_ins!$1:$1,prod_fun!$1:$1,prod_fer!$1:$1),0)),""))</f>
        <v/>
      </c>
      <c r="E48" t="str">
        <f>IF(OR($B48="",$J48=""),"",IFERROR(INDEX(CHOOSE($J48,prod_her!$A:$J,prod_ins!$A:$J,prod_fun!$A:$J,prod_fer!$A:$L),MATCH($B48,CHOOSE($J48,prod_her!$A:$A,prod_ins!$A:$A,prod_fun!$A:$A,prod_fer!$A:$A),0),MATCH(E$1,CHOOSE($J48,prod_her!$1:$1,prod_ins!$1:$1,prod_fun!$1:$1,prod_fer!$1:$1),0)),""))</f>
        <v/>
      </c>
      <c r="F48" t="str">
        <f>IF(OR($B48="",$J48=""),"",IFERROR(INDEX(CHOOSE($J48,prod_her!$A:$J,prod_ins!$A:$J,prod_fun!$A:$J,prod_fer!$A:$L),MATCH($B48,CHOOSE($J48,prod_her!$A:$A,prod_ins!$A:$A,prod_fun!$A:$A,prod_fer!$A:$A),0),MATCH(F$1,CHOOSE($J48,prod_her!$1:$1,prod_ins!$1:$1,prod_fun!$1:$1,prod_fer!$1:$1),0)),""))</f>
        <v/>
      </c>
      <c r="G48" t="str">
        <f>IF(OR($B48="",$J48=""),"",IFERROR(INDEX(CHOOSE($J48,prod_her!$A:$J,prod_ins!$A:$J,prod_fun!$A:$J,prod_fer!$A:$L),MATCH($B48,CHOOSE($J48,prod_her!$A:$A,prod_ins!$A:$A,prod_fun!$A:$A,prod_fer!$A:$A),0),MATCH(G$1,CHOOSE($J48,prod_her!$1:$1,prod_ins!$1:$1,prod_fun!$1:$1,prod_fer!$1:$1),0)),""))</f>
        <v/>
      </c>
      <c r="H48" s="6"/>
      <c r="I48" s="6"/>
      <c r="J48" t="str">
        <f>IFERROR(MATCH($C48,{"herbicide";"insecticide";"fungicide";"fertilizer"},0),"")</f>
        <v/>
      </c>
    </row>
    <row r="49" spans="4:10" x14ac:dyDescent="0.2">
      <c r="D49" t="str">
        <f>IF(OR($B49="",$J49=""),"",IFERROR(INDEX(CHOOSE($J49,prod_her!$A:$J,prod_ins!$A:$J,prod_fun!$A:$J,prod_fer!$A:$L),MATCH($B49,CHOOSE($J49,prod_her!$A:$A,prod_ins!$A:$A,prod_fun!$A:$A,prod_fer!$A:$A),0),MATCH(D$1,CHOOSE($J49,prod_her!$1:$1,prod_ins!$1:$1,prod_fun!$1:$1,prod_fer!$1:$1),0)),""))</f>
        <v/>
      </c>
      <c r="E49" t="str">
        <f>IF(OR($B49="",$J49=""),"",IFERROR(INDEX(CHOOSE($J49,prod_her!$A:$J,prod_ins!$A:$J,prod_fun!$A:$J,prod_fer!$A:$L),MATCH($B49,CHOOSE($J49,prod_her!$A:$A,prod_ins!$A:$A,prod_fun!$A:$A,prod_fer!$A:$A),0),MATCH(E$1,CHOOSE($J49,prod_her!$1:$1,prod_ins!$1:$1,prod_fun!$1:$1,prod_fer!$1:$1),0)),""))</f>
        <v/>
      </c>
      <c r="F49" t="str">
        <f>IF(OR($B49="",$J49=""),"",IFERROR(INDEX(CHOOSE($J49,prod_her!$A:$J,prod_ins!$A:$J,prod_fun!$A:$J,prod_fer!$A:$L),MATCH($B49,CHOOSE($J49,prod_her!$A:$A,prod_ins!$A:$A,prod_fun!$A:$A,prod_fer!$A:$A),0),MATCH(F$1,CHOOSE($J49,prod_her!$1:$1,prod_ins!$1:$1,prod_fun!$1:$1,prod_fer!$1:$1),0)),""))</f>
        <v/>
      </c>
      <c r="G49" t="str">
        <f>IF(OR($B49="",$J49=""),"",IFERROR(INDEX(CHOOSE($J49,prod_her!$A:$J,prod_ins!$A:$J,prod_fun!$A:$J,prod_fer!$A:$L),MATCH($B49,CHOOSE($J49,prod_her!$A:$A,prod_ins!$A:$A,prod_fun!$A:$A,prod_fer!$A:$A),0),MATCH(G$1,CHOOSE($J49,prod_her!$1:$1,prod_ins!$1:$1,prod_fun!$1:$1,prod_fer!$1:$1),0)),""))</f>
        <v/>
      </c>
      <c r="H49" s="6"/>
      <c r="I49" s="6"/>
      <c r="J49" t="str">
        <f>IFERROR(MATCH($C49,{"herbicide";"insecticide";"fungicide";"fertilizer"},0),"")</f>
        <v/>
      </c>
    </row>
    <row r="50" spans="4:10" x14ac:dyDescent="0.2">
      <c r="D50" t="str">
        <f>IF(OR($B50="",$J50=""),"",IFERROR(INDEX(CHOOSE($J50,prod_her!$A:$J,prod_ins!$A:$J,prod_fun!$A:$J,prod_fer!$A:$L),MATCH($B50,CHOOSE($J50,prod_her!$A:$A,prod_ins!$A:$A,prod_fun!$A:$A,prod_fer!$A:$A),0),MATCH(D$1,CHOOSE($J50,prod_her!$1:$1,prod_ins!$1:$1,prod_fun!$1:$1,prod_fer!$1:$1),0)),""))</f>
        <v/>
      </c>
      <c r="E50" t="str">
        <f>IF(OR($B50="",$J50=""),"",IFERROR(INDEX(CHOOSE($J50,prod_her!$A:$J,prod_ins!$A:$J,prod_fun!$A:$J,prod_fer!$A:$L),MATCH($B50,CHOOSE($J50,prod_her!$A:$A,prod_ins!$A:$A,prod_fun!$A:$A,prod_fer!$A:$A),0),MATCH(E$1,CHOOSE($J50,prod_her!$1:$1,prod_ins!$1:$1,prod_fun!$1:$1,prod_fer!$1:$1),0)),""))</f>
        <v/>
      </c>
      <c r="F50" t="str">
        <f>IF(OR($B50="",$J50=""),"",IFERROR(INDEX(CHOOSE($J50,prod_her!$A:$J,prod_ins!$A:$J,prod_fun!$A:$J,prod_fer!$A:$L),MATCH($B50,CHOOSE($J50,prod_her!$A:$A,prod_ins!$A:$A,prod_fun!$A:$A,prod_fer!$A:$A),0),MATCH(F$1,CHOOSE($J50,prod_her!$1:$1,prod_ins!$1:$1,prod_fun!$1:$1,prod_fer!$1:$1),0)),""))</f>
        <v/>
      </c>
      <c r="G50" t="str">
        <f>IF(OR($B50="",$J50=""),"",IFERROR(INDEX(CHOOSE($J50,prod_her!$A:$J,prod_ins!$A:$J,prod_fun!$A:$J,prod_fer!$A:$L),MATCH($B50,CHOOSE($J50,prod_her!$A:$A,prod_ins!$A:$A,prod_fun!$A:$A,prod_fer!$A:$A),0),MATCH(G$1,CHOOSE($J50,prod_her!$1:$1,prod_ins!$1:$1,prod_fun!$1:$1,prod_fer!$1:$1),0)),""))</f>
        <v/>
      </c>
      <c r="H50" s="6"/>
      <c r="I50" s="6"/>
      <c r="J50" t="str">
        <f>IFERROR(MATCH($C50,{"herbicide";"insecticide";"fungicide";"fertilizer"},0),"")</f>
        <v/>
      </c>
    </row>
    <row r="51" spans="4:10" x14ac:dyDescent="0.2">
      <c r="D51" t="str">
        <f>IF(OR($B51="",$J51=""),"",IFERROR(INDEX(CHOOSE($J51,prod_her!$A:$J,prod_ins!$A:$J,prod_fun!$A:$J,prod_fer!$A:$L),MATCH($B51,CHOOSE($J51,prod_her!$A:$A,prod_ins!$A:$A,prod_fun!$A:$A,prod_fer!$A:$A),0),MATCH(D$1,CHOOSE($J51,prod_her!$1:$1,prod_ins!$1:$1,prod_fun!$1:$1,prod_fer!$1:$1),0)),""))</f>
        <v/>
      </c>
      <c r="E51" t="str">
        <f>IF(OR($B51="",$J51=""),"",IFERROR(INDEX(CHOOSE($J51,prod_her!$A:$J,prod_ins!$A:$J,prod_fun!$A:$J,prod_fer!$A:$L),MATCH($B51,CHOOSE($J51,prod_her!$A:$A,prod_ins!$A:$A,prod_fun!$A:$A,prod_fer!$A:$A),0),MATCH(E$1,CHOOSE($J51,prod_her!$1:$1,prod_ins!$1:$1,prod_fun!$1:$1,prod_fer!$1:$1),0)),""))</f>
        <v/>
      </c>
      <c r="F51" t="str">
        <f>IF(OR($B51="",$J51=""),"",IFERROR(INDEX(CHOOSE($J51,prod_her!$A:$J,prod_ins!$A:$J,prod_fun!$A:$J,prod_fer!$A:$L),MATCH($B51,CHOOSE($J51,prod_her!$A:$A,prod_ins!$A:$A,prod_fun!$A:$A,prod_fer!$A:$A),0),MATCH(F$1,CHOOSE($J51,prod_her!$1:$1,prod_ins!$1:$1,prod_fun!$1:$1,prod_fer!$1:$1),0)),""))</f>
        <v/>
      </c>
      <c r="G51" t="str">
        <f>IF(OR($B51="",$J51=""),"",IFERROR(INDEX(CHOOSE($J51,prod_her!$A:$J,prod_ins!$A:$J,prod_fun!$A:$J,prod_fer!$A:$L),MATCH($B51,CHOOSE($J51,prod_her!$A:$A,prod_ins!$A:$A,prod_fun!$A:$A,prod_fer!$A:$A),0),MATCH(G$1,CHOOSE($J51,prod_her!$1:$1,prod_ins!$1:$1,prod_fun!$1:$1,prod_fer!$1:$1),0)),""))</f>
        <v/>
      </c>
      <c r="H51" s="6"/>
      <c r="I51" s="6"/>
      <c r="J51" t="str">
        <f>IFERROR(MATCH($C51,{"herbicide";"insecticide";"fungicide";"fertilizer"},0),"")</f>
        <v/>
      </c>
    </row>
    <row r="52" spans="4:10" x14ac:dyDescent="0.2">
      <c r="D52" t="str">
        <f>IF(OR($B52="",$J52=""),"",IFERROR(INDEX(CHOOSE($J52,prod_her!$A:$J,prod_ins!$A:$J,prod_fun!$A:$J,prod_fer!$A:$L),MATCH($B52,CHOOSE($J52,prod_her!$A:$A,prod_ins!$A:$A,prod_fun!$A:$A,prod_fer!$A:$A),0),MATCH(D$1,CHOOSE($J52,prod_her!$1:$1,prod_ins!$1:$1,prod_fun!$1:$1,prod_fer!$1:$1),0)),""))</f>
        <v/>
      </c>
      <c r="E52" t="str">
        <f>IF(OR($B52="",$J52=""),"",IFERROR(INDEX(CHOOSE($J52,prod_her!$A:$J,prod_ins!$A:$J,prod_fun!$A:$J,prod_fer!$A:$L),MATCH($B52,CHOOSE($J52,prod_her!$A:$A,prod_ins!$A:$A,prod_fun!$A:$A,prod_fer!$A:$A),0),MATCH(E$1,CHOOSE($J52,prod_her!$1:$1,prod_ins!$1:$1,prod_fun!$1:$1,prod_fer!$1:$1),0)),""))</f>
        <v/>
      </c>
      <c r="F52" t="str">
        <f>IF(OR($B52="",$J52=""),"",IFERROR(INDEX(CHOOSE($J52,prod_her!$A:$J,prod_ins!$A:$J,prod_fun!$A:$J,prod_fer!$A:$L),MATCH($B52,CHOOSE($J52,prod_her!$A:$A,prod_ins!$A:$A,prod_fun!$A:$A,prod_fer!$A:$A),0),MATCH(F$1,CHOOSE($J52,prod_her!$1:$1,prod_ins!$1:$1,prod_fun!$1:$1,prod_fer!$1:$1),0)),""))</f>
        <v/>
      </c>
      <c r="G52" t="str">
        <f>IF(OR($B52="",$J52=""),"",IFERROR(INDEX(CHOOSE($J52,prod_her!$A:$J,prod_ins!$A:$J,prod_fun!$A:$J,prod_fer!$A:$L),MATCH($B52,CHOOSE($J52,prod_her!$A:$A,prod_ins!$A:$A,prod_fun!$A:$A,prod_fer!$A:$A),0),MATCH(G$1,CHOOSE($J52,prod_her!$1:$1,prod_ins!$1:$1,prod_fun!$1:$1,prod_fer!$1:$1),0)),""))</f>
        <v/>
      </c>
      <c r="H52" s="6"/>
      <c r="I52" s="6"/>
      <c r="J52" t="str">
        <f>IFERROR(MATCH($C52,{"herbicide";"insecticide";"fungicide";"fertilizer"},0),"")</f>
        <v/>
      </c>
    </row>
    <row r="53" spans="4:10" x14ac:dyDescent="0.2">
      <c r="D53" t="str">
        <f>IF(OR($B53="",$J53=""),"",IFERROR(INDEX(CHOOSE($J53,prod_her!$A:$J,prod_ins!$A:$J,prod_fun!$A:$J,prod_fer!$A:$L),MATCH($B53,CHOOSE($J53,prod_her!$A:$A,prod_ins!$A:$A,prod_fun!$A:$A,prod_fer!$A:$A),0),MATCH(D$1,CHOOSE($J53,prod_her!$1:$1,prod_ins!$1:$1,prod_fun!$1:$1,prod_fer!$1:$1),0)),""))</f>
        <v/>
      </c>
      <c r="E53" t="str">
        <f>IF(OR($B53="",$J53=""),"",IFERROR(INDEX(CHOOSE($J53,prod_her!$A:$J,prod_ins!$A:$J,prod_fun!$A:$J,prod_fer!$A:$L),MATCH($B53,CHOOSE($J53,prod_her!$A:$A,prod_ins!$A:$A,prod_fun!$A:$A,prod_fer!$A:$A),0),MATCH(E$1,CHOOSE($J53,prod_her!$1:$1,prod_ins!$1:$1,prod_fun!$1:$1,prod_fer!$1:$1),0)),""))</f>
        <v/>
      </c>
      <c r="F53" t="str">
        <f>IF(OR($B53="",$J53=""),"",IFERROR(INDEX(CHOOSE($J53,prod_her!$A:$J,prod_ins!$A:$J,prod_fun!$A:$J,prod_fer!$A:$L),MATCH($B53,CHOOSE($J53,prod_her!$A:$A,prod_ins!$A:$A,prod_fun!$A:$A,prod_fer!$A:$A),0),MATCH(F$1,CHOOSE($J53,prod_her!$1:$1,prod_ins!$1:$1,prod_fun!$1:$1,prod_fer!$1:$1),0)),""))</f>
        <v/>
      </c>
      <c r="G53" t="str">
        <f>IF(OR($B53="",$J53=""),"",IFERROR(INDEX(CHOOSE($J53,prod_her!$A:$J,prod_ins!$A:$J,prod_fun!$A:$J,prod_fer!$A:$L),MATCH($B53,CHOOSE($J53,prod_her!$A:$A,prod_ins!$A:$A,prod_fun!$A:$A,prod_fer!$A:$A),0),MATCH(G$1,CHOOSE($J53,prod_her!$1:$1,prod_ins!$1:$1,prod_fun!$1:$1,prod_fer!$1:$1),0)),""))</f>
        <v/>
      </c>
      <c r="H53" s="6"/>
      <c r="I53" s="6"/>
      <c r="J53" t="str">
        <f>IFERROR(MATCH($C53,{"herbicide";"insecticide";"fungicide";"fertilizer"},0),"")</f>
        <v/>
      </c>
    </row>
    <row r="54" spans="4:10" x14ac:dyDescent="0.2">
      <c r="D54" t="str">
        <f>IF(OR($B54="",$J54=""),"",IFERROR(INDEX(CHOOSE($J54,prod_her!$A:$J,prod_ins!$A:$J,prod_fun!$A:$J,prod_fer!$A:$L),MATCH($B54,CHOOSE($J54,prod_her!$A:$A,prod_ins!$A:$A,prod_fun!$A:$A,prod_fer!$A:$A),0),MATCH(D$1,CHOOSE($J54,prod_her!$1:$1,prod_ins!$1:$1,prod_fun!$1:$1,prod_fer!$1:$1),0)),""))</f>
        <v/>
      </c>
      <c r="E54" t="str">
        <f>IF(OR($B54="",$J54=""),"",IFERROR(INDEX(CHOOSE($J54,prod_her!$A:$J,prod_ins!$A:$J,prod_fun!$A:$J,prod_fer!$A:$L),MATCH($B54,CHOOSE($J54,prod_her!$A:$A,prod_ins!$A:$A,prod_fun!$A:$A,prod_fer!$A:$A),0),MATCH(E$1,CHOOSE($J54,prod_her!$1:$1,prod_ins!$1:$1,prod_fun!$1:$1,prod_fer!$1:$1),0)),""))</f>
        <v/>
      </c>
      <c r="F54" t="str">
        <f>IF(OR($B54="",$J54=""),"",IFERROR(INDEX(CHOOSE($J54,prod_her!$A:$J,prod_ins!$A:$J,prod_fun!$A:$J,prod_fer!$A:$L),MATCH($B54,CHOOSE($J54,prod_her!$A:$A,prod_ins!$A:$A,prod_fun!$A:$A,prod_fer!$A:$A),0),MATCH(F$1,CHOOSE($J54,prod_her!$1:$1,prod_ins!$1:$1,prod_fun!$1:$1,prod_fer!$1:$1),0)),""))</f>
        <v/>
      </c>
      <c r="G54" t="str">
        <f>IF(OR($B54="",$J54=""),"",IFERROR(INDEX(CHOOSE($J54,prod_her!$A:$J,prod_ins!$A:$J,prod_fun!$A:$J,prod_fer!$A:$L),MATCH($B54,CHOOSE($J54,prod_her!$A:$A,prod_ins!$A:$A,prod_fun!$A:$A,prod_fer!$A:$A),0),MATCH(G$1,CHOOSE($J54,prod_her!$1:$1,prod_ins!$1:$1,prod_fun!$1:$1,prod_fer!$1:$1),0)),""))</f>
        <v/>
      </c>
      <c r="H54" s="6"/>
      <c r="I54" s="6"/>
      <c r="J54" t="str">
        <f>IFERROR(MATCH($C54,{"herbicide";"insecticide";"fungicide";"fertilizer"},0),"")</f>
        <v/>
      </c>
    </row>
    <row r="55" spans="4:10" x14ac:dyDescent="0.2">
      <c r="D55" t="str">
        <f>IF(OR($B55="",$J55=""),"",IFERROR(INDEX(CHOOSE($J55,prod_her!$A:$J,prod_ins!$A:$J,prod_fun!$A:$J,prod_fer!$A:$L),MATCH($B55,CHOOSE($J55,prod_her!$A:$A,prod_ins!$A:$A,prod_fun!$A:$A,prod_fer!$A:$A),0),MATCH(D$1,CHOOSE($J55,prod_her!$1:$1,prod_ins!$1:$1,prod_fun!$1:$1,prod_fer!$1:$1),0)),""))</f>
        <v/>
      </c>
      <c r="E55" t="str">
        <f>IF(OR($B55="",$J55=""),"",IFERROR(INDEX(CHOOSE($J55,prod_her!$A:$J,prod_ins!$A:$J,prod_fun!$A:$J,prod_fer!$A:$L),MATCH($B55,CHOOSE($J55,prod_her!$A:$A,prod_ins!$A:$A,prod_fun!$A:$A,prod_fer!$A:$A),0),MATCH(E$1,CHOOSE($J55,prod_her!$1:$1,prod_ins!$1:$1,prod_fun!$1:$1,prod_fer!$1:$1),0)),""))</f>
        <v/>
      </c>
      <c r="F55" t="str">
        <f>IF(OR($B55="",$J55=""),"",IFERROR(INDEX(CHOOSE($J55,prod_her!$A:$J,prod_ins!$A:$J,prod_fun!$A:$J,prod_fer!$A:$L),MATCH($B55,CHOOSE($J55,prod_her!$A:$A,prod_ins!$A:$A,prod_fun!$A:$A,prod_fer!$A:$A),0),MATCH(F$1,CHOOSE($J55,prod_her!$1:$1,prod_ins!$1:$1,prod_fun!$1:$1,prod_fer!$1:$1),0)),""))</f>
        <v/>
      </c>
      <c r="G55" t="str">
        <f>IF(OR($B55="",$J55=""),"",IFERROR(INDEX(CHOOSE($J55,prod_her!$A:$J,prod_ins!$A:$J,prod_fun!$A:$J,prod_fer!$A:$L),MATCH($B55,CHOOSE($J55,prod_her!$A:$A,prod_ins!$A:$A,prod_fun!$A:$A,prod_fer!$A:$A),0),MATCH(G$1,CHOOSE($J55,prod_her!$1:$1,prod_ins!$1:$1,prod_fun!$1:$1,prod_fer!$1:$1),0)),""))</f>
        <v/>
      </c>
      <c r="H55" s="6"/>
      <c r="I55" s="6"/>
      <c r="J55" t="str">
        <f>IFERROR(MATCH($C55,{"herbicide";"insecticide";"fungicide";"fertilizer"},0),"")</f>
        <v/>
      </c>
    </row>
    <row r="56" spans="4:10" x14ac:dyDescent="0.2">
      <c r="D56" t="str">
        <f>IF(OR($B56="",$J56=""),"",IFERROR(INDEX(CHOOSE($J56,prod_her!$A:$J,prod_ins!$A:$J,prod_fun!$A:$J,prod_fer!$A:$L),MATCH($B56,CHOOSE($J56,prod_her!$A:$A,prod_ins!$A:$A,prod_fun!$A:$A,prod_fer!$A:$A),0),MATCH(D$1,CHOOSE($J56,prod_her!$1:$1,prod_ins!$1:$1,prod_fun!$1:$1,prod_fer!$1:$1),0)),""))</f>
        <v/>
      </c>
      <c r="E56" t="str">
        <f>IF(OR($B56="",$J56=""),"",IFERROR(INDEX(CHOOSE($J56,prod_her!$A:$J,prod_ins!$A:$J,prod_fun!$A:$J,prod_fer!$A:$L),MATCH($B56,CHOOSE($J56,prod_her!$A:$A,prod_ins!$A:$A,prod_fun!$A:$A,prod_fer!$A:$A),0),MATCH(E$1,CHOOSE($J56,prod_her!$1:$1,prod_ins!$1:$1,prod_fun!$1:$1,prod_fer!$1:$1),0)),""))</f>
        <v/>
      </c>
      <c r="F56" t="str">
        <f>IF(OR($B56="",$J56=""),"",IFERROR(INDEX(CHOOSE($J56,prod_her!$A:$J,prod_ins!$A:$J,prod_fun!$A:$J,prod_fer!$A:$L),MATCH($B56,CHOOSE($J56,prod_her!$A:$A,prod_ins!$A:$A,prod_fun!$A:$A,prod_fer!$A:$A),0),MATCH(F$1,CHOOSE($J56,prod_her!$1:$1,prod_ins!$1:$1,prod_fun!$1:$1,prod_fer!$1:$1),0)),""))</f>
        <v/>
      </c>
      <c r="G56" t="str">
        <f>IF(OR($B56="",$J56=""),"",IFERROR(INDEX(CHOOSE($J56,prod_her!$A:$J,prod_ins!$A:$J,prod_fun!$A:$J,prod_fer!$A:$L),MATCH($B56,CHOOSE($J56,prod_her!$A:$A,prod_ins!$A:$A,prod_fun!$A:$A,prod_fer!$A:$A),0),MATCH(G$1,CHOOSE($J56,prod_her!$1:$1,prod_ins!$1:$1,prod_fun!$1:$1,prod_fer!$1:$1),0)),""))</f>
        <v/>
      </c>
      <c r="H56" s="6"/>
      <c r="I56" s="6"/>
      <c r="J56" t="str">
        <f>IFERROR(MATCH($C56,{"herbicide";"insecticide";"fungicide";"fertilizer"},0),"")</f>
        <v/>
      </c>
    </row>
    <row r="57" spans="4:10" x14ac:dyDescent="0.2">
      <c r="D57" t="str">
        <f>IF(OR($B57="",$J57=""),"",IFERROR(INDEX(CHOOSE($J57,prod_her!$A:$J,prod_ins!$A:$J,prod_fun!$A:$J,prod_fer!$A:$L),MATCH($B57,CHOOSE($J57,prod_her!$A:$A,prod_ins!$A:$A,prod_fun!$A:$A,prod_fer!$A:$A),0),MATCH(D$1,CHOOSE($J57,prod_her!$1:$1,prod_ins!$1:$1,prod_fun!$1:$1,prod_fer!$1:$1),0)),""))</f>
        <v/>
      </c>
      <c r="E57" t="str">
        <f>IF(OR($B57="",$J57=""),"",IFERROR(INDEX(CHOOSE($J57,prod_her!$A:$J,prod_ins!$A:$J,prod_fun!$A:$J,prod_fer!$A:$L),MATCH($B57,CHOOSE($J57,prod_her!$A:$A,prod_ins!$A:$A,prod_fun!$A:$A,prod_fer!$A:$A),0),MATCH(E$1,CHOOSE($J57,prod_her!$1:$1,prod_ins!$1:$1,prod_fun!$1:$1,prod_fer!$1:$1),0)),""))</f>
        <v/>
      </c>
      <c r="F57" t="str">
        <f>IF(OR($B57="",$J57=""),"",IFERROR(INDEX(CHOOSE($J57,prod_her!$A:$J,prod_ins!$A:$J,prod_fun!$A:$J,prod_fer!$A:$L),MATCH($B57,CHOOSE($J57,prod_her!$A:$A,prod_ins!$A:$A,prod_fun!$A:$A,prod_fer!$A:$A),0),MATCH(F$1,CHOOSE($J57,prod_her!$1:$1,prod_ins!$1:$1,prod_fun!$1:$1,prod_fer!$1:$1),0)),""))</f>
        <v/>
      </c>
      <c r="G57" t="str">
        <f>IF(OR($B57="",$J57=""),"",IFERROR(INDEX(CHOOSE($J57,prod_her!$A:$J,prod_ins!$A:$J,prod_fun!$A:$J,prod_fer!$A:$L),MATCH($B57,CHOOSE($J57,prod_her!$A:$A,prod_ins!$A:$A,prod_fun!$A:$A,prod_fer!$A:$A),0),MATCH(G$1,CHOOSE($J57,prod_her!$1:$1,prod_ins!$1:$1,prod_fun!$1:$1,prod_fer!$1:$1),0)),""))</f>
        <v/>
      </c>
      <c r="H57" s="6"/>
      <c r="I57" s="6"/>
      <c r="J57" t="str">
        <f>IFERROR(MATCH($C57,{"herbicide";"insecticide";"fungicide";"fertilizer"},0),"")</f>
        <v/>
      </c>
    </row>
    <row r="58" spans="4:10" x14ac:dyDescent="0.2">
      <c r="D58" t="str">
        <f>IF(OR($B58="",$J58=""),"",IFERROR(INDEX(CHOOSE($J58,prod_her!$A:$J,prod_ins!$A:$J,prod_fun!$A:$J,prod_fer!$A:$L),MATCH($B58,CHOOSE($J58,prod_her!$A:$A,prod_ins!$A:$A,prod_fun!$A:$A,prod_fer!$A:$A),0),MATCH(D$1,CHOOSE($J58,prod_her!$1:$1,prod_ins!$1:$1,prod_fun!$1:$1,prod_fer!$1:$1),0)),""))</f>
        <v/>
      </c>
      <c r="E58" t="str">
        <f>IF(OR($B58="",$J58=""),"",IFERROR(INDEX(CHOOSE($J58,prod_her!$A:$J,prod_ins!$A:$J,prod_fun!$A:$J,prod_fer!$A:$L),MATCH($B58,CHOOSE($J58,prod_her!$A:$A,prod_ins!$A:$A,prod_fun!$A:$A,prod_fer!$A:$A),0),MATCH(E$1,CHOOSE($J58,prod_her!$1:$1,prod_ins!$1:$1,prod_fun!$1:$1,prod_fer!$1:$1),0)),""))</f>
        <v/>
      </c>
      <c r="F58" t="str">
        <f>IF(OR($B58="",$J58=""),"",IFERROR(INDEX(CHOOSE($J58,prod_her!$A:$J,prod_ins!$A:$J,prod_fun!$A:$J,prod_fer!$A:$L),MATCH($B58,CHOOSE($J58,prod_her!$A:$A,prod_ins!$A:$A,prod_fun!$A:$A,prod_fer!$A:$A),0),MATCH(F$1,CHOOSE($J58,prod_her!$1:$1,prod_ins!$1:$1,prod_fun!$1:$1,prod_fer!$1:$1),0)),""))</f>
        <v/>
      </c>
      <c r="G58" t="str">
        <f>IF(OR($B58="",$J58=""),"",IFERROR(INDEX(CHOOSE($J58,prod_her!$A:$J,prod_ins!$A:$J,prod_fun!$A:$J,prod_fer!$A:$L),MATCH($B58,CHOOSE($J58,prod_her!$A:$A,prod_ins!$A:$A,prod_fun!$A:$A,prod_fer!$A:$A),0),MATCH(G$1,CHOOSE($J58,prod_her!$1:$1,prod_ins!$1:$1,prod_fun!$1:$1,prod_fer!$1:$1),0)),""))</f>
        <v/>
      </c>
      <c r="H58" s="6"/>
      <c r="I58" s="6"/>
      <c r="J58" t="str">
        <f>IFERROR(MATCH($C58,{"herbicide";"insecticide";"fungicide";"fertilizer"},0),"")</f>
        <v/>
      </c>
    </row>
    <row r="59" spans="4:10" x14ac:dyDescent="0.2">
      <c r="D59" t="str">
        <f>IF(OR($B59="",$J59=""),"",IFERROR(INDEX(CHOOSE($J59,prod_her!$A:$J,prod_ins!$A:$J,prod_fun!$A:$J,prod_fer!$A:$L),MATCH($B59,CHOOSE($J59,prod_her!$A:$A,prod_ins!$A:$A,prod_fun!$A:$A,prod_fer!$A:$A),0),MATCH(D$1,CHOOSE($J59,prod_her!$1:$1,prod_ins!$1:$1,prod_fun!$1:$1,prod_fer!$1:$1),0)),""))</f>
        <v/>
      </c>
      <c r="E59" t="str">
        <f>IF(OR($B59="",$J59=""),"",IFERROR(INDEX(CHOOSE($J59,prod_her!$A:$J,prod_ins!$A:$J,prod_fun!$A:$J,prod_fer!$A:$L),MATCH($B59,CHOOSE($J59,prod_her!$A:$A,prod_ins!$A:$A,prod_fun!$A:$A,prod_fer!$A:$A),0),MATCH(E$1,CHOOSE($J59,prod_her!$1:$1,prod_ins!$1:$1,prod_fun!$1:$1,prod_fer!$1:$1),0)),""))</f>
        <v/>
      </c>
      <c r="F59" t="str">
        <f>IF(OR($B59="",$J59=""),"",IFERROR(INDEX(CHOOSE($J59,prod_her!$A:$J,prod_ins!$A:$J,prod_fun!$A:$J,prod_fer!$A:$L),MATCH($B59,CHOOSE($J59,prod_her!$A:$A,prod_ins!$A:$A,prod_fun!$A:$A,prod_fer!$A:$A),0),MATCH(F$1,CHOOSE($J59,prod_her!$1:$1,prod_ins!$1:$1,prod_fun!$1:$1,prod_fer!$1:$1),0)),""))</f>
        <v/>
      </c>
      <c r="G59" t="str">
        <f>IF(OR($B59="",$J59=""),"",IFERROR(INDEX(CHOOSE($J59,prod_her!$A:$J,prod_ins!$A:$J,prod_fun!$A:$J,prod_fer!$A:$L),MATCH($B59,CHOOSE($J59,prod_her!$A:$A,prod_ins!$A:$A,prod_fun!$A:$A,prod_fer!$A:$A),0),MATCH(G$1,CHOOSE($J59,prod_her!$1:$1,prod_ins!$1:$1,prod_fun!$1:$1,prod_fer!$1:$1),0)),""))</f>
        <v/>
      </c>
      <c r="H59" s="6"/>
      <c r="I59" s="6"/>
      <c r="J59" t="str">
        <f>IFERROR(MATCH($C59,{"herbicide";"insecticide";"fungicide";"fertilizer"},0),"")</f>
        <v/>
      </c>
    </row>
    <row r="60" spans="4:10" x14ac:dyDescent="0.2">
      <c r="D60" t="str">
        <f>IF(OR($B60="",$J60=""),"",IFERROR(INDEX(CHOOSE($J60,prod_her!$A:$J,prod_ins!$A:$J,prod_fun!$A:$J,prod_fer!$A:$L),MATCH($B60,CHOOSE($J60,prod_her!$A:$A,prod_ins!$A:$A,prod_fun!$A:$A,prod_fer!$A:$A),0),MATCH(D$1,CHOOSE($J60,prod_her!$1:$1,prod_ins!$1:$1,prod_fun!$1:$1,prod_fer!$1:$1),0)),""))</f>
        <v/>
      </c>
      <c r="E60" t="str">
        <f>IF(OR($B60="",$J60=""),"",IFERROR(INDEX(CHOOSE($J60,prod_her!$A:$J,prod_ins!$A:$J,prod_fun!$A:$J,prod_fer!$A:$L),MATCH($B60,CHOOSE($J60,prod_her!$A:$A,prod_ins!$A:$A,prod_fun!$A:$A,prod_fer!$A:$A),0),MATCH(E$1,CHOOSE($J60,prod_her!$1:$1,prod_ins!$1:$1,prod_fun!$1:$1,prod_fer!$1:$1),0)),""))</f>
        <v/>
      </c>
      <c r="F60" t="str">
        <f>IF(OR($B60="",$J60=""),"",IFERROR(INDEX(CHOOSE($J60,prod_her!$A:$J,prod_ins!$A:$J,prod_fun!$A:$J,prod_fer!$A:$L),MATCH($B60,CHOOSE($J60,prod_her!$A:$A,prod_ins!$A:$A,prod_fun!$A:$A,prod_fer!$A:$A),0),MATCH(F$1,CHOOSE($J60,prod_her!$1:$1,prod_ins!$1:$1,prod_fun!$1:$1,prod_fer!$1:$1),0)),""))</f>
        <v/>
      </c>
      <c r="G60" t="str">
        <f>IF(OR($B60="",$J60=""),"",IFERROR(INDEX(CHOOSE($J60,prod_her!$A:$J,prod_ins!$A:$J,prod_fun!$A:$J,prod_fer!$A:$L),MATCH($B60,CHOOSE($J60,prod_her!$A:$A,prod_ins!$A:$A,prod_fun!$A:$A,prod_fer!$A:$A),0),MATCH(G$1,CHOOSE($J60,prod_her!$1:$1,prod_ins!$1:$1,prod_fun!$1:$1,prod_fer!$1:$1),0)),""))</f>
        <v/>
      </c>
      <c r="H60" s="6"/>
      <c r="I60" s="6"/>
      <c r="J60" t="str">
        <f>IFERROR(MATCH($C60,{"herbicide";"insecticide";"fungicide";"fertilizer"},0),"")</f>
        <v/>
      </c>
    </row>
    <row r="61" spans="4:10" x14ac:dyDescent="0.2">
      <c r="D61" t="str">
        <f>IF(OR($B61="",$J61=""),"",IFERROR(INDEX(CHOOSE($J61,prod_her!$A:$J,prod_ins!$A:$J,prod_fun!$A:$J,prod_fer!$A:$L),MATCH($B61,CHOOSE($J61,prod_her!$A:$A,prod_ins!$A:$A,prod_fun!$A:$A,prod_fer!$A:$A),0),MATCH(D$1,CHOOSE($J61,prod_her!$1:$1,prod_ins!$1:$1,prod_fun!$1:$1,prod_fer!$1:$1),0)),""))</f>
        <v/>
      </c>
      <c r="E61" t="str">
        <f>IF(OR($B61="",$J61=""),"",IFERROR(INDEX(CHOOSE($J61,prod_her!$A:$J,prod_ins!$A:$J,prod_fun!$A:$J,prod_fer!$A:$L),MATCH($B61,CHOOSE($J61,prod_her!$A:$A,prod_ins!$A:$A,prod_fun!$A:$A,prod_fer!$A:$A),0),MATCH(E$1,CHOOSE($J61,prod_her!$1:$1,prod_ins!$1:$1,prod_fun!$1:$1,prod_fer!$1:$1),0)),""))</f>
        <v/>
      </c>
      <c r="F61" t="str">
        <f>IF(OR($B61="",$J61=""),"",IFERROR(INDEX(CHOOSE($J61,prod_her!$A:$J,prod_ins!$A:$J,prod_fun!$A:$J,prod_fer!$A:$L),MATCH($B61,CHOOSE($J61,prod_her!$A:$A,prod_ins!$A:$A,prod_fun!$A:$A,prod_fer!$A:$A),0),MATCH(F$1,CHOOSE($J61,prod_her!$1:$1,prod_ins!$1:$1,prod_fun!$1:$1,prod_fer!$1:$1),0)),""))</f>
        <v/>
      </c>
      <c r="G61" t="str">
        <f>IF(OR($B61="",$J61=""),"",IFERROR(INDEX(CHOOSE($J61,prod_her!$A:$J,prod_ins!$A:$J,prod_fun!$A:$J,prod_fer!$A:$L),MATCH($B61,CHOOSE($J61,prod_her!$A:$A,prod_ins!$A:$A,prod_fun!$A:$A,prod_fer!$A:$A),0),MATCH(G$1,CHOOSE($J61,prod_her!$1:$1,prod_ins!$1:$1,prod_fun!$1:$1,prod_fer!$1:$1),0)),""))</f>
        <v/>
      </c>
      <c r="H61" s="6"/>
      <c r="I61" s="6"/>
      <c r="J61" t="str">
        <f>IFERROR(MATCH($C61,{"herbicide";"insecticide";"fungicide";"fertilizer"},0),"")</f>
        <v/>
      </c>
    </row>
    <row r="62" spans="4:10" x14ac:dyDescent="0.2">
      <c r="D62" t="str">
        <f>IF(OR($B62="",$J62=""),"",IFERROR(INDEX(CHOOSE($J62,prod_her!$A:$J,prod_ins!$A:$J,prod_fun!$A:$J,prod_fer!$A:$L),MATCH($B62,CHOOSE($J62,prod_her!$A:$A,prod_ins!$A:$A,prod_fun!$A:$A,prod_fer!$A:$A),0),MATCH(D$1,CHOOSE($J62,prod_her!$1:$1,prod_ins!$1:$1,prod_fun!$1:$1,prod_fer!$1:$1),0)),""))</f>
        <v/>
      </c>
      <c r="E62" t="str">
        <f>IF(OR($B62="",$J62=""),"",IFERROR(INDEX(CHOOSE($J62,prod_her!$A:$J,prod_ins!$A:$J,prod_fun!$A:$J,prod_fer!$A:$L),MATCH($B62,CHOOSE($J62,prod_her!$A:$A,prod_ins!$A:$A,prod_fun!$A:$A,prod_fer!$A:$A),0),MATCH(E$1,CHOOSE($J62,prod_her!$1:$1,prod_ins!$1:$1,prod_fun!$1:$1,prod_fer!$1:$1),0)),""))</f>
        <v/>
      </c>
      <c r="F62" t="str">
        <f>IF(OR($B62="",$J62=""),"",IFERROR(INDEX(CHOOSE($J62,prod_her!$A:$J,prod_ins!$A:$J,prod_fun!$A:$J,prod_fer!$A:$L),MATCH($B62,CHOOSE($J62,prod_her!$A:$A,prod_ins!$A:$A,prod_fun!$A:$A,prod_fer!$A:$A),0),MATCH(F$1,CHOOSE($J62,prod_her!$1:$1,prod_ins!$1:$1,prod_fun!$1:$1,prod_fer!$1:$1),0)),""))</f>
        <v/>
      </c>
      <c r="G62" t="str">
        <f>IF(OR($B62="",$J62=""),"",IFERROR(INDEX(CHOOSE($J62,prod_her!$A:$J,prod_ins!$A:$J,prod_fun!$A:$J,prod_fer!$A:$L),MATCH($B62,CHOOSE($J62,prod_her!$A:$A,prod_ins!$A:$A,prod_fun!$A:$A,prod_fer!$A:$A),0),MATCH(G$1,CHOOSE($J62,prod_her!$1:$1,prod_ins!$1:$1,prod_fun!$1:$1,prod_fer!$1:$1),0)),""))</f>
        <v/>
      </c>
      <c r="H62" s="6"/>
      <c r="I62" s="6"/>
      <c r="J62" t="str">
        <f>IFERROR(MATCH($C62,{"herbicide";"insecticide";"fungicide";"fertilizer"},0),"")</f>
        <v/>
      </c>
    </row>
    <row r="63" spans="4:10" x14ac:dyDescent="0.2">
      <c r="D63" t="str">
        <f>IF(OR($B63="",$J63=""),"",IFERROR(INDEX(CHOOSE($J63,prod_her!$A:$J,prod_ins!$A:$J,prod_fun!$A:$J,prod_fer!$A:$L),MATCH($B63,CHOOSE($J63,prod_her!$A:$A,prod_ins!$A:$A,prod_fun!$A:$A,prod_fer!$A:$A),0),MATCH(D$1,CHOOSE($J63,prod_her!$1:$1,prod_ins!$1:$1,prod_fun!$1:$1,prod_fer!$1:$1),0)),""))</f>
        <v/>
      </c>
      <c r="E63" t="str">
        <f>IF(OR($B63="",$J63=""),"",IFERROR(INDEX(CHOOSE($J63,prod_her!$A:$J,prod_ins!$A:$J,prod_fun!$A:$J,prod_fer!$A:$L),MATCH($B63,CHOOSE($J63,prod_her!$A:$A,prod_ins!$A:$A,prod_fun!$A:$A,prod_fer!$A:$A),0),MATCH(E$1,CHOOSE($J63,prod_her!$1:$1,prod_ins!$1:$1,prod_fun!$1:$1,prod_fer!$1:$1),0)),""))</f>
        <v/>
      </c>
      <c r="F63" t="str">
        <f>IF(OR($B63="",$J63=""),"",IFERROR(INDEX(CHOOSE($J63,prod_her!$A:$J,prod_ins!$A:$J,prod_fun!$A:$J,prod_fer!$A:$L),MATCH($B63,CHOOSE($J63,prod_her!$A:$A,prod_ins!$A:$A,prod_fun!$A:$A,prod_fer!$A:$A),0),MATCH(F$1,CHOOSE($J63,prod_her!$1:$1,prod_ins!$1:$1,prod_fun!$1:$1,prod_fer!$1:$1),0)),""))</f>
        <v/>
      </c>
      <c r="G63" t="str">
        <f>IF(OR($B63="",$J63=""),"",IFERROR(INDEX(CHOOSE($J63,prod_her!$A:$J,prod_ins!$A:$J,prod_fun!$A:$J,prod_fer!$A:$L),MATCH($B63,CHOOSE($J63,prod_her!$A:$A,prod_ins!$A:$A,prod_fun!$A:$A,prod_fer!$A:$A),0),MATCH(G$1,CHOOSE($J63,prod_her!$1:$1,prod_ins!$1:$1,prod_fun!$1:$1,prod_fer!$1:$1),0)),""))</f>
        <v/>
      </c>
      <c r="H63" s="6"/>
      <c r="I63" s="6"/>
      <c r="J63" t="str">
        <f>IFERROR(MATCH($C63,{"herbicide";"insecticide";"fungicide";"fertilizer"},0),"")</f>
        <v/>
      </c>
    </row>
    <row r="64" spans="4:10" x14ac:dyDescent="0.2">
      <c r="D64" t="str">
        <f>IF(OR($B64="",$J64=""),"",IFERROR(INDEX(CHOOSE($J64,prod_her!$A:$J,prod_ins!$A:$J,prod_fun!$A:$J,prod_fer!$A:$L),MATCH($B64,CHOOSE($J64,prod_her!$A:$A,prod_ins!$A:$A,prod_fun!$A:$A,prod_fer!$A:$A),0),MATCH(D$1,CHOOSE($J64,prod_her!$1:$1,prod_ins!$1:$1,prod_fun!$1:$1,prod_fer!$1:$1),0)),""))</f>
        <v/>
      </c>
      <c r="E64" t="str">
        <f>IF(OR($B64="",$J64=""),"",IFERROR(INDEX(CHOOSE($J64,prod_her!$A:$J,prod_ins!$A:$J,prod_fun!$A:$J,prod_fer!$A:$L),MATCH($B64,CHOOSE($J64,prod_her!$A:$A,prod_ins!$A:$A,prod_fun!$A:$A,prod_fer!$A:$A),0),MATCH(E$1,CHOOSE($J64,prod_her!$1:$1,prod_ins!$1:$1,prod_fun!$1:$1,prod_fer!$1:$1),0)),""))</f>
        <v/>
      </c>
      <c r="F64" t="str">
        <f>IF(OR($B64="",$J64=""),"",IFERROR(INDEX(CHOOSE($J64,prod_her!$A:$J,prod_ins!$A:$J,prod_fun!$A:$J,prod_fer!$A:$L),MATCH($B64,CHOOSE($J64,prod_her!$A:$A,prod_ins!$A:$A,prod_fun!$A:$A,prod_fer!$A:$A),0),MATCH(F$1,CHOOSE($J64,prod_her!$1:$1,prod_ins!$1:$1,prod_fun!$1:$1,prod_fer!$1:$1),0)),""))</f>
        <v/>
      </c>
      <c r="G64" t="str">
        <f>IF(OR($B64="",$J64=""),"",IFERROR(INDEX(CHOOSE($J64,prod_her!$A:$J,prod_ins!$A:$J,prod_fun!$A:$J,prod_fer!$A:$L),MATCH($B64,CHOOSE($J64,prod_her!$A:$A,prod_ins!$A:$A,prod_fun!$A:$A,prod_fer!$A:$A),0),MATCH(G$1,CHOOSE($J64,prod_her!$1:$1,prod_ins!$1:$1,prod_fun!$1:$1,prod_fer!$1:$1),0)),""))</f>
        <v/>
      </c>
      <c r="H64" s="6"/>
      <c r="I64" s="6"/>
      <c r="J64" t="str">
        <f>IFERROR(MATCH($C64,{"herbicide";"insecticide";"fungicide";"fertilizer"},0),"")</f>
        <v/>
      </c>
    </row>
    <row r="65" spans="4:10" x14ac:dyDescent="0.2">
      <c r="D65" t="str">
        <f>IF(OR($B65="",$J65=""),"",IFERROR(INDEX(CHOOSE($J65,prod_her!$A:$J,prod_ins!$A:$J,prod_fun!$A:$J,prod_fer!$A:$L),MATCH($B65,CHOOSE($J65,prod_her!$A:$A,prod_ins!$A:$A,prod_fun!$A:$A,prod_fer!$A:$A),0),MATCH(D$1,CHOOSE($J65,prod_her!$1:$1,prod_ins!$1:$1,prod_fun!$1:$1,prod_fer!$1:$1),0)),""))</f>
        <v/>
      </c>
      <c r="E65" t="str">
        <f>IF(OR($B65="",$J65=""),"",IFERROR(INDEX(CHOOSE($J65,prod_her!$A:$J,prod_ins!$A:$J,prod_fun!$A:$J,prod_fer!$A:$L),MATCH($B65,CHOOSE($J65,prod_her!$A:$A,prod_ins!$A:$A,prod_fun!$A:$A,prod_fer!$A:$A),0),MATCH(E$1,CHOOSE($J65,prod_her!$1:$1,prod_ins!$1:$1,prod_fun!$1:$1,prod_fer!$1:$1),0)),""))</f>
        <v/>
      </c>
      <c r="F65" t="str">
        <f>IF(OR($B65="",$J65=""),"",IFERROR(INDEX(CHOOSE($J65,prod_her!$A:$J,prod_ins!$A:$J,prod_fun!$A:$J,prod_fer!$A:$L),MATCH($B65,CHOOSE($J65,prod_her!$A:$A,prod_ins!$A:$A,prod_fun!$A:$A,prod_fer!$A:$A),0),MATCH(F$1,CHOOSE($J65,prod_her!$1:$1,prod_ins!$1:$1,prod_fun!$1:$1,prod_fer!$1:$1),0)),""))</f>
        <v/>
      </c>
      <c r="G65" t="str">
        <f>IF(OR($B65="",$J65=""),"",IFERROR(INDEX(CHOOSE($J65,prod_her!$A:$J,prod_ins!$A:$J,prod_fun!$A:$J,prod_fer!$A:$L),MATCH($B65,CHOOSE($J65,prod_her!$A:$A,prod_ins!$A:$A,prod_fun!$A:$A,prod_fer!$A:$A),0),MATCH(G$1,CHOOSE($J65,prod_her!$1:$1,prod_ins!$1:$1,prod_fun!$1:$1,prod_fer!$1:$1),0)),""))</f>
        <v/>
      </c>
      <c r="H65" s="6"/>
      <c r="I65" s="6"/>
      <c r="J65" t="str">
        <f>IFERROR(MATCH($C65,{"herbicide";"insecticide";"fungicide";"fertilizer"},0),"")</f>
        <v/>
      </c>
    </row>
    <row r="66" spans="4:10" x14ac:dyDescent="0.2">
      <c r="D66" t="str">
        <f>IF(OR($B66="",$J66=""),"",IFERROR(INDEX(CHOOSE($J66,prod_her!$A:$J,prod_ins!$A:$J,prod_fun!$A:$J,prod_fer!$A:$L),MATCH($B66,CHOOSE($J66,prod_her!$A:$A,prod_ins!$A:$A,prod_fun!$A:$A,prod_fer!$A:$A),0),MATCH(D$1,CHOOSE($J66,prod_her!$1:$1,prod_ins!$1:$1,prod_fun!$1:$1,prod_fer!$1:$1),0)),""))</f>
        <v/>
      </c>
      <c r="E66" t="str">
        <f>IF(OR($B66="",$J66=""),"",IFERROR(INDEX(CHOOSE($J66,prod_her!$A:$J,prod_ins!$A:$J,prod_fun!$A:$J,prod_fer!$A:$L),MATCH($B66,CHOOSE($J66,prod_her!$A:$A,prod_ins!$A:$A,prod_fun!$A:$A,prod_fer!$A:$A),0),MATCH(E$1,CHOOSE($J66,prod_her!$1:$1,prod_ins!$1:$1,prod_fun!$1:$1,prod_fer!$1:$1),0)),""))</f>
        <v/>
      </c>
      <c r="F66" t="str">
        <f>IF(OR($B66="",$J66=""),"",IFERROR(INDEX(CHOOSE($J66,prod_her!$A:$J,prod_ins!$A:$J,prod_fun!$A:$J,prod_fer!$A:$L),MATCH($B66,CHOOSE($J66,prod_her!$A:$A,prod_ins!$A:$A,prod_fun!$A:$A,prod_fer!$A:$A),0),MATCH(F$1,CHOOSE($J66,prod_her!$1:$1,prod_ins!$1:$1,prod_fun!$1:$1,prod_fer!$1:$1),0)),""))</f>
        <v/>
      </c>
      <c r="G66" t="str">
        <f>IF(OR($B66="",$J66=""),"",IFERROR(INDEX(CHOOSE($J66,prod_her!$A:$J,prod_ins!$A:$J,prod_fun!$A:$J,prod_fer!$A:$L),MATCH($B66,CHOOSE($J66,prod_her!$A:$A,prod_ins!$A:$A,prod_fun!$A:$A,prod_fer!$A:$A),0),MATCH(G$1,CHOOSE($J66,prod_her!$1:$1,prod_ins!$1:$1,prod_fun!$1:$1,prod_fer!$1:$1),0)),""))</f>
        <v/>
      </c>
      <c r="H66" s="6"/>
      <c r="I66" s="6"/>
      <c r="J66" t="str">
        <f>IFERROR(MATCH($C66,{"herbicide";"insecticide";"fungicide";"fertilizer"},0),"")</f>
        <v/>
      </c>
    </row>
    <row r="67" spans="4:10" x14ac:dyDescent="0.2">
      <c r="D67" t="str">
        <f>IF(OR($B67="",$J67=""),"",IFERROR(INDEX(CHOOSE($J67,prod_her!$A:$J,prod_ins!$A:$J,prod_fun!$A:$J,prod_fer!$A:$L),MATCH($B67,CHOOSE($J67,prod_her!$A:$A,prod_ins!$A:$A,prod_fun!$A:$A,prod_fer!$A:$A),0),MATCH(D$1,CHOOSE($J67,prod_her!$1:$1,prod_ins!$1:$1,prod_fun!$1:$1,prod_fer!$1:$1),0)),""))</f>
        <v/>
      </c>
      <c r="E67" t="str">
        <f>IF(OR($B67="",$J67=""),"",IFERROR(INDEX(CHOOSE($J67,prod_her!$A:$J,prod_ins!$A:$J,prod_fun!$A:$J,prod_fer!$A:$L),MATCH($B67,CHOOSE($J67,prod_her!$A:$A,prod_ins!$A:$A,prod_fun!$A:$A,prod_fer!$A:$A),0),MATCH(E$1,CHOOSE($J67,prod_her!$1:$1,prod_ins!$1:$1,prod_fun!$1:$1,prod_fer!$1:$1),0)),""))</f>
        <v/>
      </c>
      <c r="F67" t="str">
        <f>IF(OR($B67="",$J67=""),"",IFERROR(INDEX(CHOOSE($J67,prod_her!$A:$J,prod_ins!$A:$J,prod_fun!$A:$J,prod_fer!$A:$L),MATCH($B67,CHOOSE($J67,prod_her!$A:$A,prod_ins!$A:$A,prod_fun!$A:$A,prod_fer!$A:$A),0),MATCH(F$1,CHOOSE($J67,prod_her!$1:$1,prod_ins!$1:$1,prod_fun!$1:$1,prod_fer!$1:$1),0)),""))</f>
        <v/>
      </c>
      <c r="G67" t="str">
        <f>IF(OR($B67="",$J67=""),"",IFERROR(INDEX(CHOOSE($J67,prod_her!$A:$J,prod_ins!$A:$J,prod_fun!$A:$J,prod_fer!$A:$L),MATCH($B67,CHOOSE($J67,prod_her!$A:$A,prod_ins!$A:$A,prod_fun!$A:$A,prod_fer!$A:$A),0),MATCH(G$1,CHOOSE($J67,prod_her!$1:$1,prod_ins!$1:$1,prod_fun!$1:$1,prod_fer!$1:$1),0)),""))</f>
        <v/>
      </c>
      <c r="H67" s="6"/>
      <c r="I67" s="6"/>
      <c r="J67" t="str">
        <f>IFERROR(MATCH($C67,{"herbicide";"insecticide";"fungicide";"fertilizer"},0),"")</f>
        <v/>
      </c>
    </row>
    <row r="68" spans="4:10" x14ac:dyDescent="0.2">
      <c r="D68" t="str">
        <f>IF(OR($B68="",$J68=""),"",IFERROR(INDEX(CHOOSE($J68,prod_her!$A:$J,prod_ins!$A:$J,prod_fun!$A:$J,prod_fer!$A:$L),MATCH($B68,CHOOSE($J68,prod_her!$A:$A,prod_ins!$A:$A,prod_fun!$A:$A,prod_fer!$A:$A),0),MATCH(D$1,CHOOSE($J68,prod_her!$1:$1,prod_ins!$1:$1,prod_fun!$1:$1,prod_fer!$1:$1),0)),""))</f>
        <v/>
      </c>
      <c r="E68" t="str">
        <f>IF(OR($B68="",$J68=""),"",IFERROR(INDEX(CHOOSE($J68,prod_her!$A:$J,prod_ins!$A:$J,prod_fun!$A:$J,prod_fer!$A:$L),MATCH($B68,CHOOSE($J68,prod_her!$A:$A,prod_ins!$A:$A,prod_fun!$A:$A,prod_fer!$A:$A),0),MATCH(E$1,CHOOSE($J68,prod_her!$1:$1,prod_ins!$1:$1,prod_fun!$1:$1,prod_fer!$1:$1),0)),""))</f>
        <v/>
      </c>
      <c r="F68" t="str">
        <f>IF(OR($B68="",$J68=""),"",IFERROR(INDEX(CHOOSE($J68,prod_her!$A:$J,prod_ins!$A:$J,prod_fun!$A:$J,prod_fer!$A:$L),MATCH($B68,CHOOSE($J68,prod_her!$A:$A,prod_ins!$A:$A,prod_fun!$A:$A,prod_fer!$A:$A),0),MATCH(F$1,CHOOSE($J68,prod_her!$1:$1,prod_ins!$1:$1,prod_fun!$1:$1,prod_fer!$1:$1),0)),""))</f>
        <v/>
      </c>
      <c r="G68" t="str">
        <f>IF(OR($B68="",$J68=""),"",IFERROR(INDEX(CHOOSE($J68,prod_her!$A:$J,prod_ins!$A:$J,prod_fun!$A:$J,prod_fer!$A:$L),MATCH($B68,CHOOSE($J68,prod_her!$A:$A,prod_ins!$A:$A,prod_fun!$A:$A,prod_fer!$A:$A),0),MATCH(G$1,CHOOSE($J68,prod_her!$1:$1,prod_ins!$1:$1,prod_fun!$1:$1,prod_fer!$1:$1),0)),""))</f>
        <v/>
      </c>
      <c r="H68" s="6"/>
      <c r="I68" s="6"/>
      <c r="J68" t="str">
        <f>IFERROR(MATCH($C68,{"herbicide";"insecticide";"fungicide";"fertilizer"},0),"")</f>
        <v/>
      </c>
    </row>
    <row r="69" spans="4:10" x14ac:dyDescent="0.2">
      <c r="D69" t="str">
        <f>IF(OR($B69="",$J69=""),"",IFERROR(INDEX(CHOOSE($J69,prod_her!$A:$J,prod_ins!$A:$J,prod_fun!$A:$J,prod_fer!$A:$L),MATCH($B69,CHOOSE($J69,prod_her!$A:$A,prod_ins!$A:$A,prod_fun!$A:$A,prod_fer!$A:$A),0),MATCH(D$1,CHOOSE($J69,prod_her!$1:$1,prod_ins!$1:$1,prod_fun!$1:$1,prod_fer!$1:$1),0)),""))</f>
        <v/>
      </c>
      <c r="E69" t="str">
        <f>IF(OR($B69="",$J69=""),"",IFERROR(INDEX(CHOOSE($J69,prod_her!$A:$J,prod_ins!$A:$J,prod_fun!$A:$J,prod_fer!$A:$L),MATCH($B69,CHOOSE($J69,prod_her!$A:$A,prod_ins!$A:$A,prod_fun!$A:$A,prod_fer!$A:$A),0),MATCH(E$1,CHOOSE($J69,prod_her!$1:$1,prod_ins!$1:$1,prod_fun!$1:$1,prod_fer!$1:$1),0)),""))</f>
        <v/>
      </c>
      <c r="F69" t="str">
        <f>IF(OR($B69="",$J69=""),"",IFERROR(INDEX(CHOOSE($J69,prod_her!$A:$J,prod_ins!$A:$J,prod_fun!$A:$J,prod_fer!$A:$L),MATCH($B69,CHOOSE($J69,prod_her!$A:$A,prod_ins!$A:$A,prod_fun!$A:$A,prod_fer!$A:$A),0),MATCH(F$1,CHOOSE($J69,prod_her!$1:$1,prod_ins!$1:$1,prod_fun!$1:$1,prod_fer!$1:$1),0)),""))</f>
        <v/>
      </c>
      <c r="G69" t="str">
        <f>IF(OR($B69="",$J69=""),"",IFERROR(INDEX(CHOOSE($J69,prod_her!$A:$J,prod_ins!$A:$J,prod_fun!$A:$J,prod_fer!$A:$L),MATCH($B69,CHOOSE($J69,prod_her!$A:$A,prod_ins!$A:$A,prod_fun!$A:$A,prod_fer!$A:$A),0),MATCH(G$1,CHOOSE($J69,prod_her!$1:$1,prod_ins!$1:$1,prod_fun!$1:$1,prod_fer!$1:$1),0)),""))</f>
        <v/>
      </c>
      <c r="H69" s="6"/>
      <c r="I69" s="6"/>
      <c r="J69" t="str">
        <f>IFERROR(MATCH($C69,{"herbicide";"insecticide";"fungicide";"fertilizer"},0),"")</f>
        <v/>
      </c>
    </row>
    <row r="70" spans="4:10" x14ac:dyDescent="0.2">
      <c r="D70" t="str">
        <f>IF(OR($B70="",$J70=""),"",IFERROR(INDEX(CHOOSE($J70,prod_her!$A:$J,prod_ins!$A:$J,prod_fun!$A:$J,prod_fer!$A:$L),MATCH($B70,CHOOSE($J70,prod_her!$A:$A,prod_ins!$A:$A,prod_fun!$A:$A,prod_fer!$A:$A),0),MATCH(D$1,CHOOSE($J70,prod_her!$1:$1,prod_ins!$1:$1,prod_fun!$1:$1,prod_fer!$1:$1),0)),""))</f>
        <v/>
      </c>
      <c r="E70" t="str">
        <f>IF(OR($B70="",$J70=""),"",IFERROR(INDEX(CHOOSE($J70,prod_her!$A:$J,prod_ins!$A:$J,prod_fun!$A:$J,prod_fer!$A:$L),MATCH($B70,CHOOSE($J70,prod_her!$A:$A,prod_ins!$A:$A,prod_fun!$A:$A,prod_fer!$A:$A),0),MATCH(E$1,CHOOSE($J70,prod_her!$1:$1,prod_ins!$1:$1,prod_fun!$1:$1,prod_fer!$1:$1),0)),""))</f>
        <v/>
      </c>
      <c r="F70" t="str">
        <f>IF(OR($B70="",$J70=""),"",IFERROR(INDEX(CHOOSE($J70,prod_her!$A:$J,prod_ins!$A:$J,prod_fun!$A:$J,prod_fer!$A:$L),MATCH($B70,CHOOSE($J70,prod_her!$A:$A,prod_ins!$A:$A,prod_fun!$A:$A,prod_fer!$A:$A),0),MATCH(F$1,CHOOSE($J70,prod_her!$1:$1,prod_ins!$1:$1,prod_fun!$1:$1,prod_fer!$1:$1),0)),""))</f>
        <v/>
      </c>
      <c r="G70" t="str">
        <f>IF(OR($B70="",$J70=""),"",IFERROR(INDEX(CHOOSE($J70,prod_her!$A:$J,prod_ins!$A:$J,prod_fun!$A:$J,prod_fer!$A:$L),MATCH($B70,CHOOSE($J70,prod_her!$A:$A,prod_ins!$A:$A,prod_fun!$A:$A,prod_fer!$A:$A),0),MATCH(G$1,CHOOSE($J70,prod_her!$1:$1,prod_ins!$1:$1,prod_fun!$1:$1,prod_fer!$1:$1),0)),""))</f>
        <v/>
      </c>
      <c r="H70" s="6"/>
      <c r="I70" s="6"/>
      <c r="J70" t="str">
        <f>IFERROR(MATCH($C70,{"herbicide";"insecticide";"fungicide";"fertilizer"},0),"")</f>
        <v/>
      </c>
    </row>
    <row r="71" spans="4:10" x14ac:dyDescent="0.2">
      <c r="D71" t="str">
        <f>IF(OR($B71="",$J71=""),"",IFERROR(INDEX(CHOOSE($J71,prod_her!$A:$J,prod_ins!$A:$J,prod_fun!$A:$J,prod_fer!$A:$L),MATCH($B71,CHOOSE($J71,prod_her!$A:$A,prod_ins!$A:$A,prod_fun!$A:$A,prod_fer!$A:$A),0),MATCH(D$1,CHOOSE($J71,prod_her!$1:$1,prod_ins!$1:$1,prod_fun!$1:$1,prod_fer!$1:$1),0)),""))</f>
        <v/>
      </c>
      <c r="E71" t="str">
        <f>IF(OR($B71="",$J71=""),"",IFERROR(INDEX(CHOOSE($J71,prod_her!$A:$J,prod_ins!$A:$J,prod_fun!$A:$J,prod_fer!$A:$L),MATCH($B71,CHOOSE($J71,prod_her!$A:$A,prod_ins!$A:$A,prod_fun!$A:$A,prod_fer!$A:$A),0),MATCH(E$1,CHOOSE($J71,prod_her!$1:$1,prod_ins!$1:$1,prod_fun!$1:$1,prod_fer!$1:$1),0)),""))</f>
        <v/>
      </c>
      <c r="F71" t="str">
        <f>IF(OR($B71="",$J71=""),"",IFERROR(INDEX(CHOOSE($J71,prod_her!$A:$J,prod_ins!$A:$J,prod_fun!$A:$J,prod_fer!$A:$L),MATCH($B71,CHOOSE($J71,prod_her!$A:$A,prod_ins!$A:$A,prod_fun!$A:$A,prod_fer!$A:$A),0),MATCH(F$1,CHOOSE($J71,prod_her!$1:$1,prod_ins!$1:$1,prod_fun!$1:$1,prod_fer!$1:$1),0)),""))</f>
        <v/>
      </c>
      <c r="G71" t="str">
        <f>IF(OR($B71="",$J71=""),"",IFERROR(INDEX(CHOOSE($J71,prod_her!$A:$J,prod_ins!$A:$J,prod_fun!$A:$J,prod_fer!$A:$L),MATCH($B71,CHOOSE($J71,prod_her!$A:$A,prod_ins!$A:$A,prod_fun!$A:$A,prod_fer!$A:$A),0),MATCH(G$1,CHOOSE($J71,prod_her!$1:$1,prod_ins!$1:$1,prod_fun!$1:$1,prod_fer!$1:$1),0)),""))</f>
        <v/>
      </c>
      <c r="H71" s="6"/>
      <c r="I71" s="6"/>
      <c r="J71" t="str">
        <f>IFERROR(MATCH($C71,{"herbicide";"insecticide";"fungicide";"fertilizer"},0),"")</f>
        <v/>
      </c>
    </row>
    <row r="72" spans="4:10" x14ac:dyDescent="0.2">
      <c r="D72" t="str">
        <f>IF(OR($B72="",$J72=""),"",IFERROR(INDEX(CHOOSE($J72,prod_her!$A:$J,prod_ins!$A:$J,prod_fun!$A:$J,prod_fer!$A:$L),MATCH($B72,CHOOSE($J72,prod_her!$A:$A,prod_ins!$A:$A,prod_fun!$A:$A,prod_fer!$A:$A),0),MATCH(D$1,CHOOSE($J72,prod_her!$1:$1,prod_ins!$1:$1,prod_fun!$1:$1,prod_fer!$1:$1),0)),""))</f>
        <v/>
      </c>
      <c r="E72" t="str">
        <f>IF(OR($B72="",$J72=""),"",IFERROR(INDEX(CHOOSE($J72,prod_her!$A:$J,prod_ins!$A:$J,prod_fun!$A:$J,prod_fer!$A:$L),MATCH($B72,CHOOSE($J72,prod_her!$A:$A,prod_ins!$A:$A,prod_fun!$A:$A,prod_fer!$A:$A),0),MATCH(E$1,CHOOSE($J72,prod_her!$1:$1,prod_ins!$1:$1,prod_fun!$1:$1,prod_fer!$1:$1),0)),""))</f>
        <v/>
      </c>
      <c r="F72" t="str">
        <f>IF(OR($B72="",$J72=""),"",IFERROR(INDEX(CHOOSE($J72,prod_her!$A:$J,prod_ins!$A:$J,prod_fun!$A:$J,prod_fer!$A:$L),MATCH($B72,CHOOSE($J72,prod_her!$A:$A,prod_ins!$A:$A,prod_fun!$A:$A,prod_fer!$A:$A),0),MATCH(F$1,CHOOSE($J72,prod_her!$1:$1,prod_ins!$1:$1,prod_fun!$1:$1,prod_fer!$1:$1),0)),""))</f>
        <v/>
      </c>
      <c r="G72" t="str">
        <f>IF(OR($B72="",$J72=""),"",IFERROR(INDEX(CHOOSE($J72,prod_her!$A:$J,prod_ins!$A:$J,prod_fun!$A:$J,prod_fer!$A:$L),MATCH($B72,CHOOSE($J72,prod_her!$A:$A,prod_ins!$A:$A,prod_fun!$A:$A,prod_fer!$A:$A),0),MATCH(G$1,CHOOSE($J72,prod_her!$1:$1,prod_ins!$1:$1,prod_fun!$1:$1,prod_fer!$1:$1),0)),""))</f>
        <v/>
      </c>
      <c r="H72" s="6"/>
      <c r="I72" s="6"/>
      <c r="J72" t="str">
        <f>IFERROR(MATCH($C72,{"herbicide";"insecticide";"fungicide";"fertilizer"},0),"")</f>
        <v/>
      </c>
    </row>
    <row r="73" spans="4:10" x14ac:dyDescent="0.2">
      <c r="D73" t="str">
        <f>IF(OR($B73="",$J73=""),"",IFERROR(INDEX(CHOOSE($J73,prod_her!$A:$J,prod_ins!$A:$J,prod_fun!$A:$J,prod_fer!$A:$L),MATCH($B73,CHOOSE($J73,prod_her!$A:$A,prod_ins!$A:$A,prod_fun!$A:$A,prod_fer!$A:$A),0),MATCH(D$1,CHOOSE($J73,prod_her!$1:$1,prod_ins!$1:$1,prod_fun!$1:$1,prod_fer!$1:$1),0)),""))</f>
        <v/>
      </c>
      <c r="E73" t="str">
        <f>IF(OR($B73="",$J73=""),"",IFERROR(INDEX(CHOOSE($J73,prod_her!$A:$J,prod_ins!$A:$J,prod_fun!$A:$J,prod_fer!$A:$L),MATCH($B73,CHOOSE($J73,prod_her!$A:$A,prod_ins!$A:$A,prod_fun!$A:$A,prod_fer!$A:$A),0),MATCH(E$1,CHOOSE($J73,prod_her!$1:$1,prod_ins!$1:$1,prod_fun!$1:$1,prod_fer!$1:$1),0)),""))</f>
        <v/>
      </c>
      <c r="F73" t="str">
        <f>IF(OR($B73="",$J73=""),"",IFERROR(INDEX(CHOOSE($J73,prod_her!$A:$J,prod_ins!$A:$J,prod_fun!$A:$J,prod_fer!$A:$L),MATCH($B73,CHOOSE($J73,prod_her!$A:$A,prod_ins!$A:$A,prod_fun!$A:$A,prod_fer!$A:$A),0),MATCH(F$1,CHOOSE($J73,prod_her!$1:$1,prod_ins!$1:$1,prod_fun!$1:$1,prod_fer!$1:$1),0)),""))</f>
        <v/>
      </c>
      <c r="G73" t="str">
        <f>IF(OR($B73="",$J73=""),"",IFERROR(INDEX(CHOOSE($J73,prod_her!$A:$J,prod_ins!$A:$J,prod_fun!$A:$J,prod_fer!$A:$L),MATCH($B73,CHOOSE($J73,prod_her!$A:$A,prod_ins!$A:$A,prod_fun!$A:$A,prod_fer!$A:$A),0),MATCH(G$1,CHOOSE($J73,prod_her!$1:$1,prod_ins!$1:$1,prod_fun!$1:$1,prod_fer!$1:$1),0)),""))</f>
        <v/>
      </c>
      <c r="H73" s="6"/>
      <c r="I73" s="6"/>
      <c r="J73" t="str">
        <f>IFERROR(MATCH($C73,{"herbicide";"insecticide";"fungicide";"fertilizer"},0),"")</f>
        <v/>
      </c>
    </row>
    <row r="74" spans="4:10" x14ac:dyDescent="0.2">
      <c r="D74" t="str">
        <f>IF(OR($B74="",$J74=""),"",IFERROR(INDEX(CHOOSE($J74,prod_her!$A:$J,prod_ins!$A:$J,prod_fun!$A:$J,prod_fer!$A:$L),MATCH($B74,CHOOSE($J74,prod_her!$A:$A,prod_ins!$A:$A,prod_fun!$A:$A,prod_fer!$A:$A),0),MATCH(D$1,CHOOSE($J74,prod_her!$1:$1,prod_ins!$1:$1,prod_fun!$1:$1,prod_fer!$1:$1),0)),""))</f>
        <v/>
      </c>
      <c r="E74" t="str">
        <f>IF(OR($B74="",$J74=""),"",IFERROR(INDEX(CHOOSE($J74,prod_her!$A:$J,prod_ins!$A:$J,prod_fun!$A:$J,prod_fer!$A:$L),MATCH($B74,CHOOSE($J74,prod_her!$A:$A,prod_ins!$A:$A,prod_fun!$A:$A,prod_fer!$A:$A),0),MATCH(E$1,CHOOSE($J74,prod_her!$1:$1,prod_ins!$1:$1,prod_fun!$1:$1,prod_fer!$1:$1),0)),""))</f>
        <v/>
      </c>
      <c r="F74" t="str">
        <f>IF(OR($B74="",$J74=""),"",IFERROR(INDEX(CHOOSE($J74,prod_her!$A:$J,prod_ins!$A:$J,prod_fun!$A:$J,prod_fer!$A:$L),MATCH($B74,CHOOSE($J74,prod_her!$A:$A,prod_ins!$A:$A,prod_fun!$A:$A,prod_fer!$A:$A),0),MATCH(F$1,CHOOSE($J74,prod_her!$1:$1,prod_ins!$1:$1,prod_fun!$1:$1,prod_fer!$1:$1),0)),""))</f>
        <v/>
      </c>
      <c r="G74" t="str">
        <f>IF(OR($B74="",$J74=""),"",IFERROR(INDEX(CHOOSE($J74,prod_her!$A:$J,prod_ins!$A:$J,prod_fun!$A:$J,prod_fer!$A:$L),MATCH($B74,CHOOSE($J74,prod_her!$A:$A,prod_ins!$A:$A,prod_fun!$A:$A,prod_fer!$A:$A),0),MATCH(G$1,CHOOSE($J74,prod_her!$1:$1,prod_ins!$1:$1,prod_fun!$1:$1,prod_fer!$1:$1),0)),""))</f>
        <v/>
      </c>
      <c r="H74" s="6"/>
      <c r="I74" s="6"/>
      <c r="J74" t="str">
        <f>IFERROR(MATCH($C74,{"herbicide";"insecticide";"fungicide";"fertilizer"},0),"")</f>
        <v/>
      </c>
    </row>
    <row r="75" spans="4:10" x14ac:dyDescent="0.2">
      <c r="D75" t="str">
        <f>IF(OR($B75="",$J75=""),"",IFERROR(INDEX(CHOOSE($J75,prod_her!$A:$J,prod_ins!$A:$J,prod_fun!$A:$J,prod_fer!$A:$L),MATCH($B75,CHOOSE($J75,prod_her!$A:$A,prod_ins!$A:$A,prod_fun!$A:$A,prod_fer!$A:$A),0),MATCH(D$1,CHOOSE($J75,prod_her!$1:$1,prod_ins!$1:$1,prod_fun!$1:$1,prod_fer!$1:$1),0)),""))</f>
        <v/>
      </c>
      <c r="E75" t="str">
        <f>IF(OR($B75="",$J75=""),"",IFERROR(INDEX(CHOOSE($J75,prod_her!$A:$J,prod_ins!$A:$J,prod_fun!$A:$J,prod_fer!$A:$L),MATCH($B75,CHOOSE($J75,prod_her!$A:$A,prod_ins!$A:$A,prod_fun!$A:$A,prod_fer!$A:$A),0),MATCH(E$1,CHOOSE($J75,prod_her!$1:$1,prod_ins!$1:$1,prod_fun!$1:$1,prod_fer!$1:$1),0)),""))</f>
        <v/>
      </c>
      <c r="F75" t="str">
        <f>IF(OR($B75="",$J75=""),"",IFERROR(INDEX(CHOOSE($J75,prod_her!$A:$J,prod_ins!$A:$J,prod_fun!$A:$J,prod_fer!$A:$L),MATCH($B75,CHOOSE($J75,prod_her!$A:$A,prod_ins!$A:$A,prod_fun!$A:$A,prod_fer!$A:$A),0),MATCH(F$1,CHOOSE($J75,prod_her!$1:$1,prod_ins!$1:$1,prod_fun!$1:$1,prod_fer!$1:$1),0)),""))</f>
        <v/>
      </c>
      <c r="G75" t="str">
        <f>IF(OR($B75="",$J75=""),"",IFERROR(INDEX(CHOOSE($J75,prod_her!$A:$J,prod_ins!$A:$J,prod_fun!$A:$J,prod_fer!$A:$L),MATCH($B75,CHOOSE($J75,prod_her!$A:$A,prod_ins!$A:$A,prod_fun!$A:$A,prod_fer!$A:$A),0),MATCH(G$1,CHOOSE($J75,prod_her!$1:$1,prod_ins!$1:$1,prod_fun!$1:$1,prod_fer!$1:$1),0)),""))</f>
        <v/>
      </c>
      <c r="H75" s="6"/>
      <c r="I75" s="6"/>
      <c r="J75" t="str">
        <f>IFERROR(MATCH($C75,{"herbicide";"insecticide";"fungicide";"fertilizer"},0),"")</f>
        <v/>
      </c>
    </row>
    <row r="76" spans="4:10" x14ac:dyDescent="0.2">
      <c r="D76" t="str">
        <f>IF(OR($B76="",$J76=""),"",IFERROR(INDEX(CHOOSE($J76,prod_her!$A:$J,prod_ins!$A:$J,prod_fun!$A:$J,prod_fer!$A:$L),MATCH($B76,CHOOSE($J76,prod_her!$A:$A,prod_ins!$A:$A,prod_fun!$A:$A,prod_fer!$A:$A),0),MATCH(D$1,CHOOSE($J76,prod_her!$1:$1,prod_ins!$1:$1,prod_fun!$1:$1,prod_fer!$1:$1),0)),""))</f>
        <v/>
      </c>
      <c r="E76" t="str">
        <f>IF(OR($B76="",$J76=""),"",IFERROR(INDEX(CHOOSE($J76,prod_her!$A:$J,prod_ins!$A:$J,prod_fun!$A:$J,prod_fer!$A:$L),MATCH($B76,CHOOSE($J76,prod_her!$A:$A,prod_ins!$A:$A,prod_fun!$A:$A,prod_fer!$A:$A),0),MATCH(E$1,CHOOSE($J76,prod_her!$1:$1,prod_ins!$1:$1,prod_fun!$1:$1,prod_fer!$1:$1),0)),""))</f>
        <v/>
      </c>
      <c r="F76" t="str">
        <f>IF(OR($B76="",$J76=""),"",IFERROR(INDEX(CHOOSE($J76,prod_her!$A:$J,prod_ins!$A:$J,prod_fun!$A:$J,prod_fer!$A:$L),MATCH($B76,CHOOSE($J76,prod_her!$A:$A,prod_ins!$A:$A,prod_fun!$A:$A,prod_fer!$A:$A),0),MATCH(F$1,CHOOSE($J76,prod_her!$1:$1,prod_ins!$1:$1,prod_fun!$1:$1,prod_fer!$1:$1),0)),""))</f>
        <v/>
      </c>
      <c r="G76" t="str">
        <f>IF(OR($B76="",$J76=""),"",IFERROR(INDEX(CHOOSE($J76,prod_her!$A:$J,prod_ins!$A:$J,prod_fun!$A:$J,prod_fer!$A:$L),MATCH($B76,CHOOSE($J76,prod_her!$A:$A,prod_ins!$A:$A,prod_fun!$A:$A,prod_fer!$A:$A),0),MATCH(G$1,CHOOSE($J76,prod_her!$1:$1,prod_ins!$1:$1,prod_fun!$1:$1,prod_fer!$1:$1),0)),""))</f>
        <v/>
      </c>
      <c r="H76" s="6"/>
      <c r="I76" s="6"/>
      <c r="J76" t="str">
        <f>IFERROR(MATCH($C76,{"herbicide";"insecticide";"fungicide";"fertilizer"},0),"")</f>
        <v/>
      </c>
    </row>
    <row r="77" spans="4:10" x14ac:dyDescent="0.2">
      <c r="D77" t="str">
        <f>IF(OR($B77="",$J77=""),"",IFERROR(INDEX(CHOOSE($J77,prod_her!$A:$J,prod_ins!$A:$J,prod_fun!$A:$J,prod_fer!$A:$L),MATCH($B77,CHOOSE($J77,prod_her!$A:$A,prod_ins!$A:$A,prod_fun!$A:$A,prod_fer!$A:$A),0),MATCH(D$1,CHOOSE($J77,prod_her!$1:$1,prod_ins!$1:$1,prod_fun!$1:$1,prod_fer!$1:$1),0)),""))</f>
        <v/>
      </c>
      <c r="E77" t="str">
        <f>IF(OR($B77="",$J77=""),"",IFERROR(INDEX(CHOOSE($J77,prod_her!$A:$J,prod_ins!$A:$J,prod_fun!$A:$J,prod_fer!$A:$L),MATCH($B77,CHOOSE($J77,prod_her!$A:$A,prod_ins!$A:$A,prod_fun!$A:$A,prod_fer!$A:$A),0),MATCH(E$1,CHOOSE($J77,prod_her!$1:$1,prod_ins!$1:$1,prod_fun!$1:$1,prod_fer!$1:$1),0)),""))</f>
        <v/>
      </c>
      <c r="F77" t="str">
        <f>IF(OR($B77="",$J77=""),"",IFERROR(INDEX(CHOOSE($J77,prod_her!$A:$J,prod_ins!$A:$J,prod_fun!$A:$J,prod_fer!$A:$L),MATCH($B77,CHOOSE($J77,prod_her!$A:$A,prod_ins!$A:$A,prod_fun!$A:$A,prod_fer!$A:$A),0),MATCH(F$1,CHOOSE($J77,prod_her!$1:$1,prod_ins!$1:$1,prod_fun!$1:$1,prod_fer!$1:$1),0)),""))</f>
        <v/>
      </c>
      <c r="G77" t="str">
        <f>IF(OR($B77="",$J77=""),"",IFERROR(INDEX(CHOOSE($J77,prod_her!$A:$J,prod_ins!$A:$J,prod_fun!$A:$J,prod_fer!$A:$L),MATCH($B77,CHOOSE($J77,prod_her!$A:$A,prod_ins!$A:$A,prod_fun!$A:$A,prod_fer!$A:$A),0),MATCH(G$1,CHOOSE($J77,prod_her!$1:$1,prod_ins!$1:$1,prod_fun!$1:$1,prod_fer!$1:$1),0)),""))</f>
        <v/>
      </c>
      <c r="H77" s="6"/>
      <c r="I77" s="6"/>
      <c r="J77" t="str">
        <f>IFERROR(MATCH($C77,{"herbicide";"insecticide";"fungicide";"fertilizer"},0),"")</f>
        <v/>
      </c>
    </row>
    <row r="78" spans="4:10" x14ac:dyDescent="0.2">
      <c r="D78" t="str">
        <f>IF(OR($B78="",$J78=""),"",IFERROR(INDEX(CHOOSE($J78,prod_her!$A:$J,prod_ins!$A:$J,prod_fun!$A:$J,prod_fer!$A:$L),MATCH($B78,CHOOSE($J78,prod_her!$A:$A,prod_ins!$A:$A,prod_fun!$A:$A,prod_fer!$A:$A),0),MATCH(D$1,CHOOSE($J78,prod_her!$1:$1,prod_ins!$1:$1,prod_fun!$1:$1,prod_fer!$1:$1),0)),""))</f>
        <v/>
      </c>
      <c r="E78" t="str">
        <f>IF(OR($B78="",$J78=""),"",IFERROR(INDEX(CHOOSE($J78,prod_her!$A:$J,prod_ins!$A:$J,prod_fun!$A:$J,prod_fer!$A:$L),MATCH($B78,CHOOSE($J78,prod_her!$A:$A,prod_ins!$A:$A,prod_fun!$A:$A,prod_fer!$A:$A),0),MATCH(E$1,CHOOSE($J78,prod_her!$1:$1,prod_ins!$1:$1,prod_fun!$1:$1,prod_fer!$1:$1),0)),""))</f>
        <v/>
      </c>
      <c r="F78" t="str">
        <f>IF(OR($B78="",$J78=""),"",IFERROR(INDEX(CHOOSE($J78,prod_her!$A:$J,prod_ins!$A:$J,prod_fun!$A:$J,prod_fer!$A:$L),MATCH($B78,CHOOSE($J78,prod_her!$A:$A,prod_ins!$A:$A,prod_fun!$A:$A,prod_fer!$A:$A),0),MATCH(F$1,CHOOSE($J78,prod_her!$1:$1,prod_ins!$1:$1,prod_fun!$1:$1,prod_fer!$1:$1),0)),""))</f>
        <v/>
      </c>
      <c r="G78" t="str">
        <f>IF(OR($B78="",$J78=""),"",IFERROR(INDEX(CHOOSE($J78,prod_her!$A:$J,prod_ins!$A:$J,prod_fun!$A:$J,prod_fer!$A:$L),MATCH($B78,CHOOSE($J78,prod_her!$A:$A,prod_ins!$A:$A,prod_fun!$A:$A,prod_fer!$A:$A),0),MATCH(G$1,CHOOSE($J78,prod_her!$1:$1,prod_ins!$1:$1,prod_fun!$1:$1,prod_fer!$1:$1),0)),""))</f>
        <v/>
      </c>
      <c r="H78" s="6"/>
      <c r="I78" s="6"/>
      <c r="J78" t="str">
        <f>IFERROR(MATCH($C78,{"herbicide";"insecticide";"fungicide";"fertilizer"},0),"")</f>
        <v/>
      </c>
    </row>
    <row r="79" spans="4:10" x14ac:dyDescent="0.2">
      <c r="D79" t="str">
        <f>IF(OR($B79="",$J79=""),"",IFERROR(INDEX(CHOOSE($J79,prod_her!$A:$J,prod_ins!$A:$J,prod_fun!$A:$J,prod_fer!$A:$L),MATCH($B79,CHOOSE($J79,prod_her!$A:$A,prod_ins!$A:$A,prod_fun!$A:$A,prod_fer!$A:$A),0),MATCH(D$1,CHOOSE($J79,prod_her!$1:$1,prod_ins!$1:$1,prod_fun!$1:$1,prod_fer!$1:$1),0)),""))</f>
        <v/>
      </c>
      <c r="E79" t="str">
        <f>IF(OR($B79="",$J79=""),"",IFERROR(INDEX(CHOOSE($J79,prod_her!$A:$J,prod_ins!$A:$J,prod_fun!$A:$J,prod_fer!$A:$L),MATCH($B79,CHOOSE($J79,prod_her!$A:$A,prod_ins!$A:$A,prod_fun!$A:$A,prod_fer!$A:$A),0),MATCH(E$1,CHOOSE($J79,prod_her!$1:$1,prod_ins!$1:$1,prod_fun!$1:$1,prod_fer!$1:$1),0)),""))</f>
        <v/>
      </c>
      <c r="F79" t="str">
        <f>IF(OR($B79="",$J79=""),"",IFERROR(INDEX(CHOOSE($J79,prod_her!$A:$J,prod_ins!$A:$J,prod_fun!$A:$J,prod_fer!$A:$L),MATCH($B79,CHOOSE($J79,prod_her!$A:$A,prod_ins!$A:$A,prod_fun!$A:$A,prod_fer!$A:$A),0),MATCH(F$1,CHOOSE($J79,prod_her!$1:$1,prod_ins!$1:$1,prod_fun!$1:$1,prod_fer!$1:$1),0)),""))</f>
        <v/>
      </c>
      <c r="G79" t="str">
        <f>IF(OR($B79="",$J79=""),"",IFERROR(INDEX(CHOOSE($J79,prod_her!$A:$J,prod_ins!$A:$J,prod_fun!$A:$J,prod_fer!$A:$L),MATCH($B79,CHOOSE($J79,prod_her!$A:$A,prod_ins!$A:$A,prod_fun!$A:$A,prod_fer!$A:$A),0),MATCH(G$1,CHOOSE($J79,prod_her!$1:$1,prod_ins!$1:$1,prod_fun!$1:$1,prod_fer!$1:$1),0)),""))</f>
        <v/>
      </c>
      <c r="H79" s="6"/>
      <c r="I79" s="6"/>
      <c r="J79" t="str">
        <f>IFERROR(MATCH($C79,{"herbicide";"insecticide";"fungicide";"fertilizer"},0),"")</f>
        <v/>
      </c>
    </row>
    <row r="80" spans="4:10" x14ac:dyDescent="0.2">
      <c r="D80" t="str">
        <f>IF(OR($B80="",$J80=""),"",IFERROR(INDEX(CHOOSE($J80,prod_her!$A:$J,prod_ins!$A:$J,prod_fun!$A:$J,prod_fer!$A:$L),MATCH($B80,CHOOSE($J80,prod_her!$A:$A,prod_ins!$A:$A,prod_fun!$A:$A,prod_fer!$A:$A),0),MATCH(D$1,CHOOSE($J80,prod_her!$1:$1,prod_ins!$1:$1,prod_fun!$1:$1,prod_fer!$1:$1),0)),""))</f>
        <v/>
      </c>
      <c r="E80" t="str">
        <f>IF(OR($B80="",$J80=""),"",IFERROR(INDEX(CHOOSE($J80,prod_her!$A:$J,prod_ins!$A:$J,prod_fun!$A:$J,prod_fer!$A:$L),MATCH($B80,CHOOSE($J80,prod_her!$A:$A,prod_ins!$A:$A,prod_fun!$A:$A,prod_fer!$A:$A),0),MATCH(E$1,CHOOSE($J80,prod_her!$1:$1,prod_ins!$1:$1,prod_fun!$1:$1,prod_fer!$1:$1),0)),""))</f>
        <v/>
      </c>
      <c r="F80" t="str">
        <f>IF(OR($B80="",$J80=""),"",IFERROR(INDEX(CHOOSE($J80,prod_her!$A:$J,prod_ins!$A:$J,prod_fun!$A:$J,prod_fer!$A:$L),MATCH($B80,CHOOSE($J80,prod_her!$A:$A,prod_ins!$A:$A,prod_fun!$A:$A,prod_fer!$A:$A),0),MATCH(F$1,CHOOSE($J80,prod_her!$1:$1,prod_ins!$1:$1,prod_fun!$1:$1,prod_fer!$1:$1),0)),""))</f>
        <v/>
      </c>
      <c r="G80" t="str">
        <f>IF(OR($B80="",$J80=""),"",IFERROR(INDEX(CHOOSE($J80,prod_her!$A:$J,prod_ins!$A:$J,prod_fun!$A:$J,prod_fer!$A:$L),MATCH($B80,CHOOSE($J80,prod_her!$A:$A,prod_ins!$A:$A,prod_fun!$A:$A,prod_fer!$A:$A),0),MATCH(G$1,CHOOSE($J80,prod_her!$1:$1,prod_ins!$1:$1,prod_fun!$1:$1,prod_fer!$1:$1),0)),""))</f>
        <v/>
      </c>
      <c r="H80" s="6"/>
      <c r="I80" s="6"/>
      <c r="J80" t="str">
        <f>IFERROR(MATCH($C80,{"herbicide";"insecticide";"fungicide";"fertilizer"},0),"")</f>
        <v/>
      </c>
    </row>
    <row r="81" spans="4:10" x14ac:dyDescent="0.2">
      <c r="D81" t="str">
        <f>IF(OR($B81="",$J81=""),"",IFERROR(INDEX(CHOOSE($J81,prod_her!$A:$J,prod_ins!$A:$J,prod_fun!$A:$J,prod_fer!$A:$L),MATCH($B81,CHOOSE($J81,prod_her!$A:$A,prod_ins!$A:$A,prod_fun!$A:$A,prod_fer!$A:$A),0),MATCH(D$1,CHOOSE($J81,prod_her!$1:$1,prod_ins!$1:$1,prod_fun!$1:$1,prod_fer!$1:$1),0)),""))</f>
        <v/>
      </c>
      <c r="E81" t="str">
        <f>IF(OR($B81="",$J81=""),"",IFERROR(INDEX(CHOOSE($J81,prod_her!$A:$J,prod_ins!$A:$J,prod_fun!$A:$J,prod_fer!$A:$L),MATCH($B81,CHOOSE($J81,prod_her!$A:$A,prod_ins!$A:$A,prod_fun!$A:$A,prod_fer!$A:$A),0),MATCH(E$1,CHOOSE($J81,prod_her!$1:$1,prod_ins!$1:$1,prod_fun!$1:$1,prod_fer!$1:$1),0)),""))</f>
        <v/>
      </c>
      <c r="F81" t="str">
        <f>IF(OR($B81="",$J81=""),"",IFERROR(INDEX(CHOOSE($J81,prod_her!$A:$J,prod_ins!$A:$J,prod_fun!$A:$J,prod_fer!$A:$L),MATCH($B81,CHOOSE($J81,prod_her!$A:$A,prod_ins!$A:$A,prod_fun!$A:$A,prod_fer!$A:$A),0),MATCH(F$1,CHOOSE($J81,prod_her!$1:$1,prod_ins!$1:$1,prod_fun!$1:$1,prod_fer!$1:$1),0)),""))</f>
        <v/>
      </c>
      <c r="G81" t="str">
        <f>IF(OR($B81="",$J81=""),"",IFERROR(INDEX(CHOOSE($J81,prod_her!$A:$J,prod_ins!$A:$J,prod_fun!$A:$J,prod_fer!$A:$L),MATCH($B81,CHOOSE($J81,prod_her!$A:$A,prod_ins!$A:$A,prod_fun!$A:$A,prod_fer!$A:$A),0),MATCH(G$1,CHOOSE($J81,prod_her!$1:$1,prod_ins!$1:$1,prod_fun!$1:$1,prod_fer!$1:$1),0)),""))</f>
        <v/>
      </c>
      <c r="H81" s="6"/>
      <c r="I81" s="6"/>
      <c r="J81" t="str">
        <f>IFERROR(MATCH($C81,{"herbicide";"insecticide";"fungicide";"fertilizer"},0),"")</f>
        <v/>
      </c>
    </row>
    <row r="82" spans="4:10" x14ac:dyDescent="0.2">
      <c r="D82" t="str">
        <f>IF(OR($B82="",$J82=""),"",IFERROR(INDEX(CHOOSE($J82,prod_her!$A:$J,prod_ins!$A:$J,prod_fun!$A:$J,prod_fer!$A:$L),MATCH($B82,CHOOSE($J82,prod_her!$A:$A,prod_ins!$A:$A,prod_fun!$A:$A,prod_fer!$A:$A),0),MATCH(D$1,CHOOSE($J82,prod_her!$1:$1,prod_ins!$1:$1,prod_fun!$1:$1,prod_fer!$1:$1),0)),""))</f>
        <v/>
      </c>
      <c r="E82" t="str">
        <f>IF(OR($B82="",$J82=""),"",IFERROR(INDEX(CHOOSE($J82,prod_her!$A:$J,prod_ins!$A:$J,prod_fun!$A:$J,prod_fer!$A:$L),MATCH($B82,CHOOSE($J82,prod_her!$A:$A,prod_ins!$A:$A,prod_fun!$A:$A,prod_fer!$A:$A),0),MATCH(E$1,CHOOSE($J82,prod_her!$1:$1,prod_ins!$1:$1,prod_fun!$1:$1,prod_fer!$1:$1),0)),""))</f>
        <v/>
      </c>
      <c r="F82" t="str">
        <f>IF(OR($B82="",$J82=""),"",IFERROR(INDEX(CHOOSE($J82,prod_her!$A:$J,prod_ins!$A:$J,prod_fun!$A:$J,prod_fer!$A:$L),MATCH($B82,CHOOSE($J82,prod_her!$A:$A,prod_ins!$A:$A,prod_fun!$A:$A,prod_fer!$A:$A),0),MATCH(F$1,CHOOSE($J82,prod_her!$1:$1,prod_ins!$1:$1,prod_fun!$1:$1,prod_fer!$1:$1),0)),""))</f>
        <v/>
      </c>
      <c r="G82" t="str">
        <f>IF(OR($B82="",$J82=""),"",IFERROR(INDEX(CHOOSE($J82,prod_her!$A:$J,prod_ins!$A:$J,prod_fun!$A:$J,prod_fer!$A:$L),MATCH($B82,CHOOSE($J82,prod_her!$A:$A,prod_ins!$A:$A,prod_fun!$A:$A,prod_fer!$A:$A),0),MATCH(G$1,CHOOSE($J82,prod_her!$1:$1,prod_ins!$1:$1,prod_fun!$1:$1,prod_fer!$1:$1),0)),""))</f>
        <v/>
      </c>
      <c r="H82" s="6"/>
      <c r="I82" s="6"/>
      <c r="J82" t="str">
        <f>IFERROR(MATCH($C82,{"herbicide";"insecticide";"fungicide";"fertilizer"},0),"")</f>
        <v/>
      </c>
    </row>
    <row r="83" spans="4:10" x14ac:dyDescent="0.2">
      <c r="D83" t="str">
        <f>IF(OR($B83="",$J83=""),"",IFERROR(INDEX(CHOOSE($J83,prod_her!$A:$J,prod_ins!$A:$J,prod_fun!$A:$J,prod_fer!$A:$L),MATCH($B83,CHOOSE($J83,prod_her!$A:$A,prod_ins!$A:$A,prod_fun!$A:$A,prod_fer!$A:$A),0),MATCH(D$1,CHOOSE($J83,prod_her!$1:$1,prod_ins!$1:$1,prod_fun!$1:$1,prod_fer!$1:$1),0)),""))</f>
        <v/>
      </c>
      <c r="E83" t="str">
        <f>IF(OR($B83="",$J83=""),"",IFERROR(INDEX(CHOOSE($J83,prod_her!$A:$J,prod_ins!$A:$J,prod_fun!$A:$J,prod_fer!$A:$L),MATCH($B83,CHOOSE($J83,prod_her!$A:$A,prod_ins!$A:$A,prod_fun!$A:$A,prod_fer!$A:$A),0),MATCH(E$1,CHOOSE($J83,prod_her!$1:$1,prod_ins!$1:$1,prod_fun!$1:$1,prod_fer!$1:$1),0)),""))</f>
        <v/>
      </c>
      <c r="F83" t="str">
        <f>IF(OR($B83="",$J83=""),"",IFERROR(INDEX(CHOOSE($J83,prod_her!$A:$J,prod_ins!$A:$J,prod_fun!$A:$J,prod_fer!$A:$L),MATCH($B83,CHOOSE($J83,prod_her!$A:$A,prod_ins!$A:$A,prod_fun!$A:$A,prod_fer!$A:$A),0),MATCH(F$1,CHOOSE($J83,prod_her!$1:$1,prod_ins!$1:$1,prod_fun!$1:$1,prod_fer!$1:$1),0)),""))</f>
        <v/>
      </c>
      <c r="G83" t="str">
        <f>IF(OR($B83="",$J83=""),"",IFERROR(INDEX(CHOOSE($J83,prod_her!$A:$J,prod_ins!$A:$J,prod_fun!$A:$J,prod_fer!$A:$L),MATCH($B83,CHOOSE($J83,prod_her!$A:$A,prod_ins!$A:$A,prod_fun!$A:$A,prod_fer!$A:$A),0),MATCH(G$1,CHOOSE($J83,prod_her!$1:$1,prod_ins!$1:$1,prod_fun!$1:$1,prod_fer!$1:$1),0)),""))</f>
        <v/>
      </c>
      <c r="H83" s="6"/>
      <c r="I83" s="6"/>
      <c r="J83" t="str">
        <f>IFERROR(MATCH($C83,{"herbicide";"insecticide";"fungicide";"fertilizer"},0),"")</f>
        <v/>
      </c>
    </row>
    <row r="84" spans="4:10" x14ac:dyDescent="0.2">
      <c r="D84" t="str">
        <f>IF(OR($B84="",$J84=""),"",IFERROR(INDEX(CHOOSE($J84,prod_her!$A:$J,prod_ins!$A:$J,prod_fun!$A:$J,prod_fer!$A:$L),MATCH($B84,CHOOSE($J84,prod_her!$A:$A,prod_ins!$A:$A,prod_fun!$A:$A,prod_fer!$A:$A),0),MATCH(D$1,CHOOSE($J84,prod_her!$1:$1,prod_ins!$1:$1,prod_fun!$1:$1,prod_fer!$1:$1),0)),""))</f>
        <v/>
      </c>
      <c r="E84" t="str">
        <f>IF(OR($B84="",$J84=""),"",IFERROR(INDEX(CHOOSE($J84,prod_her!$A:$J,prod_ins!$A:$J,prod_fun!$A:$J,prod_fer!$A:$L),MATCH($B84,CHOOSE($J84,prod_her!$A:$A,prod_ins!$A:$A,prod_fun!$A:$A,prod_fer!$A:$A),0),MATCH(E$1,CHOOSE($J84,prod_her!$1:$1,prod_ins!$1:$1,prod_fun!$1:$1,prod_fer!$1:$1),0)),""))</f>
        <v/>
      </c>
      <c r="F84" t="str">
        <f>IF(OR($B84="",$J84=""),"",IFERROR(INDEX(CHOOSE($J84,prod_her!$A:$J,prod_ins!$A:$J,prod_fun!$A:$J,prod_fer!$A:$L),MATCH($B84,CHOOSE($J84,prod_her!$A:$A,prod_ins!$A:$A,prod_fun!$A:$A,prod_fer!$A:$A),0),MATCH(F$1,CHOOSE($J84,prod_her!$1:$1,prod_ins!$1:$1,prod_fun!$1:$1,prod_fer!$1:$1),0)),""))</f>
        <v/>
      </c>
      <c r="G84" t="str">
        <f>IF(OR($B84="",$J84=""),"",IFERROR(INDEX(CHOOSE($J84,prod_her!$A:$J,prod_ins!$A:$J,prod_fun!$A:$J,prod_fer!$A:$L),MATCH($B84,CHOOSE($J84,prod_her!$A:$A,prod_ins!$A:$A,prod_fun!$A:$A,prod_fer!$A:$A),0),MATCH(G$1,CHOOSE($J84,prod_her!$1:$1,prod_ins!$1:$1,prod_fun!$1:$1,prod_fer!$1:$1),0)),""))</f>
        <v/>
      </c>
      <c r="H84" s="6"/>
      <c r="I84" s="6"/>
      <c r="J84" t="str">
        <f>IFERROR(MATCH($C84,{"herbicide";"insecticide";"fungicide";"fertilizer"},0),"")</f>
        <v/>
      </c>
    </row>
    <row r="85" spans="4:10" x14ac:dyDescent="0.2">
      <c r="D85" t="str">
        <f>IF(OR($B85="",$J85=""),"",IFERROR(INDEX(CHOOSE($J85,prod_her!$A:$J,prod_ins!$A:$J,prod_fun!$A:$J,prod_fer!$A:$L),MATCH($B85,CHOOSE($J85,prod_her!$A:$A,prod_ins!$A:$A,prod_fun!$A:$A,prod_fer!$A:$A),0),MATCH(D$1,CHOOSE($J85,prod_her!$1:$1,prod_ins!$1:$1,prod_fun!$1:$1,prod_fer!$1:$1),0)),""))</f>
        <v/>
      </c>
      <c r="E85" t="str">
        <f>IF(OR($B85="",$J85=""),"",IFERROR(INDEX(CHOOSE($J85,prod_her!$A:$J,prod_ins!$A:$J,prod_fun!$A:$J,prod_fer!$A:$L),MATCH($B85,CHOOSE($J85,prod_her!$A:$A,prod_ins!$A:$A,prod_fun!$A:$A,prod_fer!$A:$A),0),MATCH(E$1,CHOOSE($J85,prod_her!$1:$1,prod_ins!$1:$1,prod_fun!$1:$1,prod_fer!$1:$1),0)),""))</f>
        <v/>
      </c>
      <c r="F85" t="str">
        <f>IF(OR($B85="",$J85=""),"",IFERROR(INDEX(CHOOSE($J85,prod_her!$A:$J,prod_ins!$A:$J,prod_fun!$A:$J,prod_fer!$A:$L),MATCH($B85,CHOOSE($J85,prod_her!$A:$A,prod_ins!$A:$A,prod_fun!$A:$A,prod_fer!$A:$A),0),MATCH(F$1,CHOOSE($J85,prod_her!$1:$1,prod_ins!$1:$1,prod_fun!$1:$1,prod_fer!$1:$1),0)),""))</f>
        <v/>
      </c>
      <c r="G85" t="str">
        <f>IF(OR($B85="",$J85=""),"",IFERROR(INDEX(CHOOSE($J85,prod_her!$A:$J,prod_ins!$A:$J,prod_fun!$A:$J,prod_fer!$A:$L),MATCH($B85,CHOOSE($J85,prod_her!$A:$A,prod_ins!$A:$A,prod_fun!$A:$A,prod_fer!$A:$A),0),MATCH(G$1,CHOOSE($J85,prod_her!$1:$1,prod_ins!$1:$1,prod_fun!$1:$1,prod_fer!$1:$1),0)),""))</f>
        <v/>
      </c>
      <c r="H85" s="6"/>
      <c r="I85" s="6"/>
      <c r="J85" t="str">
        <f>IFERROR(MATCH($C85,{"herbicide";"insecticide";"fungicide";"fertilizer"},0),"")</f>
        <v/>
      </c>
    </row>
    <row r="86" spans="4:10" x14ac:dyDescent="0.2">
      <c r="D86" t="str">
        <f>IF(OR($B86="",$J86=""),"",IFERROR(INDEX(CHOOSE($J86,prod_her!$A:$J,prod_ins!$A:$J,prod_fun!$A:$J,prod_fer!$A:$L),MATCH($B86,CHOOSE($J86,prod_her!$A:$A,prod_ins!$A:$A,prod_fun!$A:$A,prod_fer!$A:$A),0),MATCH(D$1,CHOOSE($J86,prod_her!$1:$1,prod_ins!$1:$1,prod_fun!$1:$1,prod_fer!$1:$1),0)),""))</f>
        <v/>
      </c>
      <c r="E86" t="str">
        <f>IF(OR($B86="",$J86=""),"",IFERROR(INDEX(CHOOSE($J86,prod_her!$A:$J,prod_ins!$A:$J,prod_fun!$A:$J,prod_fer!$A:$L),MATCH($B86,CHOOSE($J86,prod_her!$A:$A,prod_ins!$A:$A,prod_fun!$A:$A,prod_fer!$A:$A),0),MATCH(E$1,CHOOSE($J86,prod_her!$1:$1,prod_ins!$1:$1,prod_fun!$1:$1,prod_fer!$1:$1),0)),""))</f>
        <v/>
      </c>
      <c r="F86" t="str">
        <f>IF(OR($B86="",$J86=""),"",IFERROR(INDEX(CHOOSE($J86,prod_her!$A:$J,prod_ins!$A:$J,prod_fun!$A:$J,prod_fer!$A:$L),MATCH($B86,CHOOSE($J86,prod_her!$A:$A,prod_ins!$A:$A,prod_fun!$A:$A,prod_fer!$A:$A),0),MATCH(F$1,CHOOSE($J86,prod_her!$1:$1,prod_ins!$1:$1,prod_fun!$1:$1,prod_fer!$1:$1),0)),""))</f>
        <v/>
      </c>
      <c r="G86" t="str">
        <f>IF(OR($B86="",$J86=""),"",IFERROR(INDEX(CHOOSE($J86,prod_her!$A:$J,prod_ins!$A:$J,prod_fun!$A:$J,prod_fer!$A:$L),MATCH($B86,CHOOSE($J86,prod_her!$A:$A,prod_ins!$A:$A,prod_fun!$A:$A,prod_fer!$A:$A),0),MATCH(G$1,CHOOSE($J86,prod_her!$1:$1,prod_ins!$1:$1,prod_fun!$1:$1,prod_fer!$1:$1),0)),""))</f>
        <v/>
      </c>
      <c r="H86" s="6"/>
      <c r="I86" s="6"/>
      <c r="J86" t="str">
        <f>IFERROR(MATCH($C86,{"herbicide";"insecticide";"fungicide";"fertilizer"},0),"")</f>
        <v/>
      </c>
    </row>
    <row r="87" spans="4:10" x14ac:dyDescent="0.2">
      <c r="D87" t="str">
        <f>IF(OR($B87="",$J87=""),"",IFERROR(INDEX(CHOOSE($J87,prod_her!$A:$J,prod_ins!$A:$J,prod_fun!$A:$J,prod_fer!$A:$L),MATCH($B87,CHOOSE($J87,prod_her!$A:$A,prod_ins!$A:$A,prod_fun!$A:$A,prod_fer!$A:$A),0),MATCH(D$1,CHOOSE($J87,prod_her!$1:$1,prod_ins!$1:$1,prod_fun!$1:$1,prod_fer!$1:$1),0)),""))</f>
        <v/>
      </c>
      <c r="E87" t="str">
        <f>IF(OR($B87="",$J87=""),"",IFERROR(INDEX(CHOOSE($J87,prod_her!$A:$J,prod_ins!$A:$J,prod_fun!$A:$J,prod_fer!$A:$L),MATCH($B87,CHOOSE($J87,prod_her!$A:$A,prod_ins!$A:$A,prod_fun!$A:$A,prod_fer!$A:$A),0),MATCH(E$1,CHOOSE($J87,prod_her!$1:$1,prod_ins!$1:$1,prod_fun!$1:$1,prod_fer!$1:$1),0)),""))</f>
        <v/>
      </c>
      <c r="F87" t="str">
        <f>IF(OR($B87="",$J87=""),"",IFERROR(INDEX(CHOOSE($J87,prod_her!$A:$J,prod_ins!$A:$J,prod_fun!$A:$J,prod_fer!$A:$L),MATCH($B87,CHOOSE($J87,prod_her!$A:$A,prod_ins!$A:$A,prod_fun!$A:$A,prod_fer!$A:$A),0),MATCH(F$1,CHOOSE($J87,prod_her!$1:$1,prod_ins!$1:$1,prod_fun!$1:$1,prod_fer!$1:$1),0)),""))</f>
        <v/>
      </c>
      <c r="G87" t="str">
        <f>IF(OR($B87="",$J87=""),"",IFERROR(INDEX(CHOOSE($J87,prod_her!$A:$J,prod_ins!$A:$J,prod_fun!$A:$J,prod_fer!$A:$L),MATCH($B87,CHOOSE($J87,prod_her!$A:$A,prod_ins!$A:$A,prod_fun!$A:$A,prod_fer!$A:$A),0),MATCH(G$1,CHOOSE($J87,prod_her!$1:$1,prod_ins!$1:$1,prod_fun!$1:$1,prod_fer!$1:$1),0)),""))</f>
        <v/>
      </c>
      <c r="H87" s="6"/>
      <c r="I87" s="6"/>
      <c r="J87" t="str">
        <f>IFERROR(MATCH($C87,{"herbicide";"insecticide";"fungicide";"fertilizer"},0),"")</f>
        <v/>
      </c>
    </row>
    <row r="88" spans="4:10" x14ac:dyDescent="0.2">
      <c r="D88" t="str">
        <f>IF(OR($B88="",$J88=""),"",IFERROR(INDEX(CHOOSE($J88,prod_her!$A:$J,prod_ins!$A:$J,prod_fun!$A:$J,prod_fer!$A:$L),MATCH($B88,CHOOSE($J88,prod_her!$A:$A,prod_ins!$A:$A,prod_fun!$A:$A,prod_fer!$A:$A),0),MATCH(D$1,CHOOSE($J88,prod_her!$1:$1,prod_ins!$1:$1,prod_fun!$1:$1,prod_fer!$1:$1),0)),""))</f>
        <v/>
      </c>
      <c r="E88" t="str">
        <f>IF(OR($B88="",$J88=""),"",IFERROR(INDEX(CHOOSE($J88,prod_her!$A:$J,prod_ins!$A:$J,prod_fun!$A:$J,prod_fer!$A:$L),MATCH($B88,CHOOSE($J88,prod_her!$A:$A,prod_ins!$A:$A,prod_fun!$A:$A,prod_fer!$A:$A),0),MATCH(E$1,CHOOSE($J88,prod_her!$1:$1,prod_ins!$1:$1,prod_fun!$1:$1,prod_fer!$1:$1),0)),""))</f>
        <v/>
      </c>
      <c r="F88" t="str">
        <f>IF(OR($B88="",$J88=""),"",IFERROR(INDEX(CHOOSE($J88,prod_her!$A:$J,prod_ins!$A:$J,prod_fun!$A:$J,prod_fer!$A:$L),MATCH($B88,CHOOSE($J88,prod_her!$A:$A,prod_ins!$A:$A,prod_fun!$A:$A,prod_fer!$A:$A),0),MATCH(F$1,CHOOSE($J88,prod_her!$1:$1,prod_ins!$1:$1,prod_fun!$1:$1,prod_fer!$1:$1),0)),""))</f>
        <v/>
      </c>
      <c r="G88" t="str">
        <f>IF(OR($B88="",$J88=""),"",IFERROR(INDEX(CHOOSE($J88,prod_her!$A:$J,prod_ins!$A:$J,prod_fun!$A:$J,prod_fer!$A:$L),MATCH($B88,CHOOSE($J88,prod_her!$A:$A,prod_ins!$A:$A,prod_fun!$A:$A,prod_fer!$A:$A),0),MATCH(G$1,CHOOSE($J88,prod_her!$1:$1,prod_ins!$1:$1,prod_fun!$1:$1,prod_fer!$1:$1),0)),""))</f>
        <v/>
      </c>
      <c r="H88" s="6"/>
      <c r="I88" s="6"/>
      <c r="J88" t="str">
        <f>IFERROR(MATCH($C88,{"herbicide";"insecticide";"fungicide";"fertilizer"},0),"")</f>
        <v/>
      </c>
    </row>
    <row r="89" spans="4:10" x14ac:dyDescent="0.2">
      <c r="D89" t="str">
        <f>IF(OR($B89="",$J89=""),"",IFERROR(INDEX(CHOOSE($J89,prod_her!$A:$J,prod_ins!$A:$J,prod_fun!$A:$J,prod_fer!$A:$L),MATCH($B89,CHOOSE($J89,prod_her!$A:$A,prod_ins!$A:$A,prod_fun!$A:$A,prod_fer!$A:$A),0),MATCH(D$1,CHOOSE($J89,prod_her!$1:$1,prod_ins!$1:$1,prod_fun!$1:$1,prod_fer!$1:$1),0)),""))</f>
        <v/>
      </c>
      <c r="E89" t="str">
        <f>IF(OR($B89="",$J89=""),"",IFERROR(INDEX(CHOOSE($J89,prod_her!$A:$J,prod_ins!$A:$J,prod_fun!$A:$J,prod_fer!$A:$L),MATCH($B89,CHOOSE($J89,prod_her!$A:$A,prod_ins!$A:$A,prod_fun!$A:$A,prod_fer!$A:$A),0),MATCH(E$1,CHOOSE($J89,prod_her!$1:$1,prod_ins!$1:$1,prod_fun!$1:$1,prod_fer!$1:$1),0)),""))</f>
        <v/>
      </c>
      <c r="F89" t="str">
        <f>IF(OR($B89="",$J89=""),"",IFERROR(INDEX(CHOOSE($J89,prod_her!$A:$J,prod_ins!$A:$J,prod_fun!$A:$J,prod_fer!$A:$L),MATCH($B89,CHOOSE($J89,prod_her!$A:$A,prod_ins!$A:$A,prod_fun!$A:$A,prod_fer!$A:$A),0),MATCH(F$1,CHOOSE($J89,prod_her!$1:$1,prod_ins!$1:$1,prod_fun!$1:$1,prod_fer!$1:$1),0)),""))</f>
        <v/>
      </c>
      <c r="G89" t="str">
        <f>IF(OR($B89="",$J89=""),"",IFERROR(INDEX(CHOOSE($J89,prod_her!$A:$J,prod_ins!$A:$J,prod_fun!$A:$J,prod_fer!$A:$L),MATCH($B89,CHOOSE($J89,prod_her!$A:$A,prod_ins!$A:$A,prod_fun!$A:$A,prod_fer!$A:$A),0),MATCH(G$1,CHOOSE($J89,prod_her!$1:$1,prod_ins!$1:$1,prod_fun!$1:$1,prod_fer!$1:$1),0)),""))</f>
        <v/>
      </c>
      <c r="H89" s="6"/>
      <c r="I89" s="6"/>
      <c r="J89" t="str">
        <f>IFERROR(MATCH($C89,{"herbicide";"insecticide";"fungicide";"fertilizer"},0),"")</f>
        <v/>
      </c>
    </row>
    <row r="90" spans="4:10" x14ac:dyDescent="0.2">
      <c r="D90" t="str">
        <f>IF(OR($B90="",$J90=""),"",IFERROR(INDEX(CHOOSE($J90,prod_her!$A:$J,prod_ins!$A:$J,prod_fun!$A:$J,prod_fer!$A:$L),MATCH($B90,CHOOSE($J90,prod_her!$A:$A,prod_ins!$A:$A,prod_fun!$A:$A,prod_fer!$A:$A),0),MATCH(D$1,CHOOSE($J90,prod_her!$1:$1,prod_ins!$1:$1,prod_fun!$1:$1,prod_fer!$1:$1),0)),""))</f>
        <v/>
      </c>
      <c r="E90" t="str">
        <f>IF(OR($B90="",$J90=""),"",IFERROR(INDEX(CHOOSE($J90,prod_her!$A:$J,prod_ins!$A:$J,prod_fun!$A:$J,prod_fer!$A:$L),MATCH($B90,CHOOSE($J90,prod_her!$A:$A,prod_ins!$A:$A,prod_fun!$A:$A,prod_fer!$A:$A),0),MATCH(E$1,CHOOSE($J90,prod_her!$1:$1,prod_ins!$1:$1,prod_fun!$1:$1,prod_fer!$1:$1),0)),""))</f>
        <v/>
      </c>
      <c r="F90" t="str">
        <f>IF(OR($B90="",$J90=""),"",IFERROR(INDEX(CHOOSE($J90,prod_her!$A:$J,prod_ins!$A:$J,prod_fun!$A:$J,prod_fer!$A:$L),MATCH($B90,CHOOSE($J90,prod_her!$A:$A,prod_ins!$A:$A,prod_fun!$A:$A,prod_fer!$A:$A),0),MATCH(F$1,CHOOSE($J90,prod_her!$1:$1,prod_ins!$1:$1,prod_fun!$1:$1,prod_fer!$1:$1),0)),""))</f>
        <v/>
      </c>
      <c r="G90" t="str">
        <f>IF(OR($B90="",$J90=""),"",IFERROR(INDEX(CHOOSE($J90,prod_her!$A:$J,prod_ins!$A:$J,prod_fun!$A:$J,prod_fer!$A:$L),MATCH($B90,CHOOSE($J90,prod_her!$A:$A,prod_ins!$A:$A,prod_fun!$A:$A,prod_fer!$A:$A),0),MATCH(G$1,CHOOSE($J90,prod_her!$1:$1,prod_ins!$1:$1,prod_fun!$1:$1,prod_fer!$1:$1),0)),""))</f>
        <v/>
      </c>
      <c r="H90" s="6"/>
      <c r="I90" s="6"/>
      <c r="J90" t="str">
        <f>IFERROR(MATCH($C90,{"herbicide";"insecticide";"fungicide";"fertilizer"},0),"")</f>
        <v/>
      </c>
    </row>
    <row r="91" spans="4:10" x14ac:dyDescent="0.2">
      <c r="D91" t="str">
        <f>IF(OR($B91="",$J91=""),"",IFERROR(INDEX(CHOOSE($J91,prod_her!$A:$J,prod_ins!$A:$J,prod_fun!$A:$J,prod_fer!$A:$L),MATCH($B91,CHOOSE($J91,prod_her!$A:$A,prod_ins!$A:$A,prod_fun!$A:$A,prod_fer!$A:$A),0),MATCH(D$1,CHOOSE($J91,prod_her!$1:$1,prod_ins!$1:$1,prod_fun!$1:$1,prod_fer!$1:$1),0)),""))</f>
        <v/>
      </c>
      <c r="E91" t="str">
        <f>IF(OR($B91="",$J91=""),"",IFERROR(INDEX(CHOOSE($J91,prod_her!$A:$J,prod_ins!$A:$J,prod_fun!$A:$J,prod_fer!$A:$L),MATCH($B91,CHOOSE($J91,prod_her!$A:$A,prod_ins!$A:$A,prod_fun!$A:$A,prod_fer!$A:$A),0),MATCH(E$1,CHOOSE($J91,prod_her!$1:$1,prod_ins!$1:$1,prod_fun!$1:$1,prod_fer!$1:$1),0)),""))</f>
        <v/>
      </c>
      <c r="F91" t="str">
        <f>IF(OR($B91="",$J91=""),"",IFERROR(INDEX(CHOOSE($J91,prod_her!$A:$J,prod_ins!$A:$J,prod_fun!$A:$J,prod_fer!$A:$L),MATCH($B91,CHOOSE($J91,prod_her!$A:$A,prod_ins!$A:$A,prod_fun!$A:$A,prod_fer!$A:$A),0),MATCH(F$1,CHOOSE($J91,prod_her!$1:$1,prod_ins!$1:$1,prod_fun!$1:$1,prod_fer!$1:$1),0)),""))</f>
        <v/>
      </c>
      <c r="G91" t="str">
        <f>IF(OR($B91="",$J91=""),"",IFERROR(INDEX(CHOOSE($J91,prod_her!$A:$J,prod_ins!$A:$J,prod_fun!$A:$J,prod_fer!$A:$L),MATCH($B91,CHOOSE($J91,prod_her!$A:$A,prod_ins!$A:$A,prod_fun!$A:$A,prod_fer!$A:$A),0),MATCH(G$1,CHOOSE($J91,prod_her!$1:$1,prod_ins!$1:$1,prod_fun!$1:$1,prod_fer!$1:$1),0)),""))</f>
        <v/>
      </c>
      <c r="H91" s="6"/>
      <c r="I91" s="6"/>
      <c r="J91" t="str">
        <f>IFERROR(MATCH($C91,{"herbicide";"insecticide";"fungicide";"fertilizer"},0),"")</f>
        <v/>
      </c>
    </row>
    <row r="92" spans="4:10" x14ac:dyDescent="0.2">
      <c r="D92" t="str">
        <f>IF(OR($B92="",$J92=""),"",IFERROR(INDEX(CHOOSE($J92,prod_her!$A:$J,prod_ins!$A:$J,prod_fun!$A:$J,prod_fer!$A:$L),MATCH($B92,CHOOSE($J92,prod_her!$A:$A,prod_ins!$A:$A,prod_fun!$A:$A,prod_fer!$A:$A),0),MATCH(D$1,CHOOSE($J92,prod_her!$1:$1,prod_ins!$1:$1,prod_fun!$1:$1,prod_fer!$1:$1),0)),""))</f>
        <v/>
      </c>
      <c r="E92" t="str">
        <f>IF(OR($B92="",$J92=""),"",IFERROR(INDEX(CHOOSE($J92,prod_her!$A:$J,prod_ins!$A:$J,prod_fun!$A:$J,prod_fer!$A:$L),MATCH($B92,CHOOSE($J92,prod_her!$A:$A,prod_ins!$A:$A,prod_fun!$A:$A,prod_fer!$A:$A),0),MATCH(E$1,CHOOSE($J92,prod_her!$1:$1,prod_ins!$1:$1,prod_fun!$1:$1,prod_fer!$1:$1),0)),""))</f>
        <v/>
      </c>
      <c r="F92" t="str">
        <f>IF(OR($B92="",$J92=""),"",IFERROR(INDEX(CHOOSE($J92,prod_her!$A:$J,prod_ins!$A:$J,prod_fun!$A:$J,prod_fer!$A:$L),MATCH($B92,CHOOSE($J92,prod_her!$A:$A,prod_ins!$A:$A,prod_fun!$A:$A,prod_fer!$A:$A),0),MATCH(F$1,CHOOSE($J92,prod_her!$1:$1,prod_ins!$1:$1,prod_fun!$1:$1,prod_fer!$1:$1),0)),""))</f>
        <v/>
      </c>
      <c r="G92" t="str">
        <f>IF(OR($B92="",$J92=""),"",IFERROR(INDEX(CHOOSE($J92,prod_her!$A:$J,prod_ins!$A:$J,prod_fun!$A:$J,prod_fer!$A:$L),MATCH($B92,CHOOSE($J92,prod_her!$A:$A,prod_ins!$A:$A,prod_fun!$A:$A,prod_fer!$A:$A),0),MATCH(G$1,CHOOSE($J92,prod_her!$1:$1,prod_ins!$1:$1,prod_fun!$1:$1,prod_fer!$1:$1),0)),""))</f>
        <v/>
      </c>
      <c r="H92" s="6"/>
      <c r="I92" s="6"/>
      <c r="J92" t="str">
        <f>IFERROR(MATCH($C92,{"herbicide";"insecticide";"fungicide";"fertilizer"},0),"")</f>
        <v/>
      </c>
    </row>
    <row r="93" spans="4:10" x14ac:dyDescent="0.2">
      <c r="D93" t="str">
        <f>IF(OR($B93="",$J93=""),"",IFERROR(INDEX(CHOOSE($J93,prod_her!$A:$J,prod_ins!$A:$J,prod_fun!$A:$J,prod_fer!$A:$L),MATCH($B93,CHOOSE($J93,prod_her!$A:$A,prod_ins!$A:$A,prod_fun!$A:$A,prod_fer!$A:$A),0),MATCH(D$1,CHOOSE($J93,prod_her!$1:$1,prod_ins!$1:$1,prod_fun!$1:$1,prod_fer!$1:$1),0)),""))</f>
        <v/>
      </c>
      <c r="E93" t="str">
        <f>IF(OR($B93="",$J93=""),"",IFERROR(INDEX(CHOOSE($J93,prod_her!$A:$J,prod_ins!$A:$J,prod_fun!$A:$J,prod_fer!$A:$L),MATCH($B93,CHOOSE($J93,prod_her!$A:$A,prod_ins!$A:$A,prod_fun!$A:$A,prod_fer!$A:$A),0),MATCH(E$1,CHOOSE($J93,prod_her!$1:$1,prod_ins!$1:$1,prod_fun!$1:$1,prod_fer!$1:$1),0)),""))</f>
        <v/>
      </c>
      <c r="F93" t="str">
        <f>IF(OR($B93="",$J93=""),"",IFERROR(INDEX(CHOOSE($J93,prod_her!$A:$J,prod_ins!$A:$J,prod_fun!$A:$J,prod_fer!$A:$L),MATCH($B93,CHOOSE($J93,prod_her!$A:$A,prod_ins!$A:$A,prod_fun!$A:$A,prod_fer!$A:$A),0),MATCH(F$1,CHOOSE($J93,prod_her!$1:$1,prod_ins!$1:$1,prod_fun!$1:$1,prod_fer!$1:$1),0)),""))</f>
        <v/>
      </c>
      <c r="G93" t="str">
        <f>IF(OR($B93="",$J93=""),"",IFERROR(INDEX(CHOOSE($J93,prod_her!$A:$J,prod_ins!$A:$J,prod_fun!$A:$J,prod_fer!$A:$L),MATCH($B93,CHOOSE($J93,prod_her!$A:$A,prod_ins!$A:$A,prod_fun!$A:$A,prod_fer!$A:$A),0),MATCH(G$1,CHOOSE($J93,prod_her!$1:$1,prod_ins!$1:$1,prod_fun!$1:$1,prod_fer!$1:$1),0)),""))</f>
        <v/>
      </c>
      <c r="H93" s="6"/>
      <c r="I93" s="6"/>
      <c r="J93" t="str">
        <f>IFERROR(MATCH($C93,{"herbicide";"insecticide";"fungicide";"fertilizer"},0),"")</f>
        <v/>
      </c>
    </row>
    <row r="94" spans="4:10" x14ac:dyDescent="0.2">
      <c r="D94" t="str">
        <f>IF(OR($B94="",$J94=""),"",IFERROR(INDEX(CHOOSE($J94,prod_her!$A:$J,prod_ins!$A:$J,prod_fun!$A:$J,prod_fer!$A:$L),MATCH($B94,CHOOSE($J94,prod_her!$A:$A,prod_ins!$A:$A,prod_fun!$A:$A,prod_fer!$A:$A),0),MATCH(D$1,CHOOSE($J94,prod_her!$1:$1,prod_ins!$1:$1,prod_fun!$1:$1,prod_fer!$1:$1),0)),""))</f>
        <v/>
      </c>
      <c r="E94" t="str">
        <f>IF(OR($B94="",$J94=""),"",IFERROR(INDEX(CHOOSE($J94,prod_her!$A:$J,prod_ins!$A:$J,prod_fun!$A:$J,prod_fer!$A:$L),MATCH($B94,CHOOSE($J94,prod_her!$A:$A,prod_ins!$A:$A,prod_fun!$A:$A,prod_fer!$A:$A),0),MATCH(E$1,CHOOSE($J94,prod_her!$1:$1,prod_ins!$1:$1,prod_fun!$1:$1,prod_fer!$1:$1),0)),""))</f>
        <v/>
      </c>
      <c r="F94" t="str">
        <f>IF(OR($B94="",$J94=""),"",IFERROR(INDEX(CHOOSE($J94,prod_her!$A:$J,prod_ins!$A:$J,prod_fun!$A:$J,prod_fer!$A:$L),MATCH($B94,CHOOSE($J94,prod_her!$A:$A,prod_ins!$A:$A,prod_fun!$A:$A,prod_fer!$A:$A),0),MATCH(F$1,CHOOSE($J94,prod_her!$1:$1,prod_ins!$1:$1,prod_fun!$1:$1,prod_fer!$1:$1),0)),""))</f>
        <v/>
      </c>
      <c r="G94" t="str">
        <f>IF(OR($B94="",$J94=""),"",IFERROR(INDEX(CHOOSE($J94,prod_her!$A:$J,prod_ins!$A:$J,prod_fun!$A:$J,prod_fer!$A:$L),MATCH($B94,CHOOSE($J94,prod_her!$A:$A,prod_ins!$A:$A,prod_fun!$A:$A,prod_fer!$A:$A),0),MATCH(G$1,CHOOSE($J94,prod_her!$1:$1,prod_ins!$1:$1,prod_fun!$1:$1,prod_fer!$1:$1),0)),""))</f>
        <v/>
      </c>
      <c r="H94" s="6"/>
      <c r="I94" s="6"/>
      <c r="J94" t="str">
        <f>IFERROR(MATCH($C94,{"herbicide";"insecticide";"fungicide";"fertilizer"},0),"")</f>
        <v/>
      </c>
    </row>
    <row r="95" spans="4:10" x14ac:dyDescent="0.2">
      <c r="D95" t="str">
        <f>IF(OR($B95="",$J95=""),"",IFERROR(INDEX(CHOOSE($J95,prod_her!$A:$J,prod_ins!$A:$J,prod_fun!$A:$J,prod_fer!$A:$L),MATCH($B95,CHOOSE($J95,prod_her!$A:$A,prod_ins!$A:$A,prod_fun!$A:$A,prod_fer!$A:$A),0),MATCH(D$1,CHOOSE($J95,prod_her!$1:$1,prod_ins!$1:$1,prod_fun!$1:$1,prod_fer!$1:$1),0)),""))</f>
        <v/>
      </c>
      <c r="E95" t="str">
        <f>IF(OR($B95="",$J95=""),"",IFERROR(INDEX(CHOOSE($J95,prod_her!$A:$J,prod_ins!$A:$J,prod_fun!$A:$J,prod_fer!$A:$L),MATCH($B95,CHOOSE($J95,prod_her!$A:$A,prod_ins!$A:$A,prod_fun!$A:$A,prod_fer!$A:$A),0),MATCH(E$1,CHOOSE($J95,prod_her!$1:$1,prod_ins!$1:$1,prod_fun!$1:$1,prod_fer!$1:$1),0)),""))</f>
        <v/>
      </c>
      <c r="F95" t="str">
        <f>IF(OR($B95="",$J95=""),"",IFERROR(INDEX(CHOOSE($J95,prod_her!$A:$J,prod_ins!$A:$J,prod_fun!$A:$J,prod_fer!$A:$L),MATCH($B95,CHOOSE($J95,prod_her!$A:$A,prod_ins!$A:$A,prod_fun!$A:$A,prod_fer!$A:$A),0),MATCH(F$1,CHOOSE($J95,prod_her!$1:$1,prod_ins!$1:$1,prod_fun!$1:$1,prod_fer!$1:$1),0)),""))</f>
        <v/>
      </c>
      <c r="G95" t="str">
        <f>IF(OR($B95="",$J95=""),"",IFERROR(INDEX(CHOOSE($J95,prod_her!$A:$J,prod_ins!$A:$J,prod_fun!$A:$J,prod_fer!$A:$L),MATCH($B95,CHOOSE($J95,prod_her!$A:$A,prod_ins!$A:$A,prod_fun!$A:$A,prod_fer!$A:$A),0),MATCH(G$1,CHOOSE($J95,prod_her!$1:$1,prod_ins!$1:$1,prod_fun!$1:$1,prod_fer!$1:$1),0)),""))</f>
        <v/>
      </c>
      <c r="H95" s="6"/>
      <c r="I95" s="6"/>
      <c r="J95" t="str">
        <f>IFERROR(MATCH($C95,{"herbicide";"insecticide";"fungicide";"fertilizer"},0),"")</f>
        <v/>
      </c>
    </row>
    <row r="96" spans="4:10" x14ac:dyDescent="0.2">
      <c r="D96" t="str">
        <f>IF(OR($B96="",$J96=""),"",IFERROR(INDEX(CHOOSE($J96,prod_her!$A:$J,prod_ins!$A:$J,prod_fun!$A:$J,prod_fer!$A:$L),MATCH($B96,CHOOSE($J96,prod_her!$A:$A,prod_ins!$A:$A,prod_fun!$A:$A,prod_fer!$A:$A),0),MATCH(D$1,CHOOSE($J96,prod_her!$1:$1,prod_ins!$1:$1,prod_fun!$1:$1,prod_fer!$1:$1),0)),""))</f>
        <v/>
      </c>
      <c r="E96" t="str">
        <f>IF(OR($B96="",$J96=""),"",IFERROR(INDEX(CHOOSE($J96,prod_her!$A:$J,prod_ins!$A:$J,prod_fun!$A:$J,prod_fer!$A:$L),MATCH($B96,CHOOSE($J96,prod_her!$A:$A,prod_ins!$A:$A,prod_fun!$A:$A,prod_fer!$A:$A),0),MATCH(E$1,CHOOSE($J96,prod_her!$1:$1,prod_ins!$1:$1,prod_fun!$1:$1,prod_fer!$1:$1),0)),""))</f>
        <v/>
      </c>
      <c r="F96" t="str">
        <f>IF(OR($B96="",$J96=""),"",IFERROR(INDEX(CHOOSE($J96,prod_her!$A:$J,prod_ins!$A:$J,prod_fun!$A:$J,prod_fer!$A:$L),MATCH($B96,CHOOSE($J96,prod_her!$A:$A,prod_ins!$A:$A,prod_fun!$A:$A,prod_fer!$A:$A),0),MATCH(F$1,CHOOSE($J96,prod_her!$1:$1,prod_ins!$1:$1,prod_fun!$1:$1,prod_fer!$1:$1),0)),""))</f>
        <v/>
      </c>
      <c r="G96" t="str">
        <f>IF(OR($B96="",$J96=""),"",IFERROR(INDEX(CHOOSE($J96,prod_her!$A:$J,prod_ins!$A:$J,prod_fun!$A:$J,prod_fer!$A:$L),MATCH($B96,CHOOSE($J96,prod_her!$A:$A,prod_ins!$A:$A,prod_fun!$A:$A,prod_fer!$A:$A),0),MATCH(G$1,CHOOSE($J96,prod_her!$1:$1,prod_ins!$1:$1,prod_fun!$1:$1,prod_fer!$1:$1),0)),""))</f>
        <v/>
      </c>
      <c r="H96" s="6"/>
      <c r="I96" s="6"/>
      <c r="J96" t="str">
        <f>IFERROR(MATCH($C96,{"herbicide";"insecticide";"fungicide";"fertilizer"},0),"")</f>
        <v/>
      </c>
    </row>
    <row r="97" spans="4:10" x14ac:dyDescent="0.2">
      <c r="D97" t="str">
        <f>IF(OR($B97="",$J97=""),"",IFERROR(INDEX(CHOOSE($J97,prod_her!$A:$J,prod_ins!$A:$J,prod_fun!$A:$J,prod_fer!$A:$L),MATCH($B97,CHOOSE($J97,prod_her!$A:$A,prod_ins!$A:$A,prod_fun!$A:$A,prod_fer!$A:$A),0),MATCH(D$1,CHOOSE($J97,prod_her!$1:$1,prod_ins!$1:$1,prod_fun!$1:$1,prod_fer!$1:$1),0)),""))</f>
        <v/>
      </c>
      <c r="E97" t="str">
        <f>IF(OR($B97="",$J97=""),"",IFERROR(INDEX(CHOOSE($J97,prod_her!$A:$J,prod_ins!$A:$J,prod_fun!$A:$J,prod_fer!$A:$L),MATCH($B97,CHOOSE($J97,prod_her!$A:$A,prod_ins!$A:$A,prod_fun!$A:$A,prod_fer!$A:$A),0),MATCH(E$1,CHOOSE($J97,prod_her!$1:$1,prod_ins!$1:$1,prod_fun!$1:$1,prod_fer!$1:$1),0)),""))</f>
        <v/>
      </c>
      <c r="F97" t="str">
        <f>IF(OR($B97="",$J97=""),"",IFERROR(INDEX(CHOOSE($J97,prod_her!$A:$J,prod_ins!$A:$J,prod_fun!$A:$J,prod_fer!$A:$L),MATCH($B97,CHOOSE($J97,prod_her!$A:$A,prod_ins!$A:$A,prod_fun!$A:$A,prod_fer!$A:$A),0),MATCH(F$1,CHOOSE($J97,prod_her!$1:$1,prod_ins!$1:$1,prod_fun!$1:$1,prod_fer!$1:$1),0)),""))</f>
        <v/>
      </c>
      <c r="G97" t="str">
        <f>IF(OR($B97="",$J97=""),"",IFERROR(INDEX(CHOOSE($J97,prod_her!$A:$J,prod_ins!$A:$J,prod_fun!$A:$J,prod_fer!$A:$L),MATCH($B97,CHOOSE($J97,prod_her!$A:$A,prod_ins!$A:$A,prod_fun!$A:$A,prod_fer!$A:$A),0),MATCH(G$1,CHOOSE($J97,prod_her!$1:$1,prod_ins!$1:$1,prod_fun!$1:$1,prod_fer!$1:$1),0)),""))</f>
        <v/>
      </c>
      <c r="H97" s="6"/>
      <c r="I97" s="6"/>
      <c r="J97" t="str">
        <f>IFERROR(MATCH($C97,{"herbicide";"insecticide";"fungicide";"fertilizer"},0),"")</f>
        <v/>
      </c>
    </row>
    <row r="98" spans="4:10" x14ac:dyDescent="0.2">
      <c r="D98" t="str">
        <f>IF(OR($B98="",$J98=""),"",IFERROR(INDEX(CHOOSE($J98,prod_her!$A:$J,prod_ins!$A:$J,prod_fun!$A:$J,prod_fer!$A:$L),MATCH($B98,CHOOSE($J98,prod_her!$A:$A,prod_ins!$A:$A,prod_fun!$A:$A,prod_fer!$A:$A),0),MATCH(D$1,CHOOSE($J98,prod_her!$1:$1,prod_ins!$1:$1,prod_fun!$1:$1,prod_fer!$1:$1),0)),""))</f>
        <v/>
      </c>
      <c r="E98" t="str">
        <f>IF(OR($B98="",$J98=""),"",IFERROR(INDEX(CHOOSE($J98,prod_her!$A:$J,prod_ins!$A:$J,prod_fun!$A:$J,prod_fer!$A:$L),MATCH($B98,CHOOSE($J98,prod_her!$A:$A,prod_ins!$A:$A,prod_fun!$A:$A,prod_fer!$A:$A),0),MATCH(E$1,CHOOSE($J98,prod_her!$1:$1,prod_ins!$1:$1,prod_fun!$1:$1,prod_fer!$1:$1),0)),""))</f>
        <v/>
      </c>
      <c r="F98" t="str">
        <f>IF(OR($B98="",$J98=""),"",IFERROR(INDEX(CHOOSE($J98,prod_her!$A:$J,prod_ins!$A:$J,prod_fun!$A:$J,prod_fer!$A:$L),MATCH($B98,CHOOSE($J98,prod_her!$A:$A,prod_ins!$A:$A,prod_fun!$A:$A,prod_fer!$A:$A),0),MATCH(F$1,CHOOSE($J98,prod_her!$1:$1,prod_ins!$1:$1,prod_fun!$1:$1,prod_fer!$1:$1),0)),""))</f>
        <v/>
      </c>
      <c r="G98" t="str">
        <f>IF(OR($B98="",$J98=""),"",IFERROR(INDEX(CHOOSE($J98,prod_her!$A:$J,prod_ins!$A:$J,prod_fun!$A:$J,prod_fer!$A:$L),MATCH($B98,CHOOSE($J98,prod_her!$A:$A,prod_ins!$A:$A,prod_fun!$A:$A,prod_fer!$A:$A),0),MATCH(G$1,CHOOSE($J98,prod_her!$1:$1,prod_ins!$1:$1,prod_fun!$1:$1,prod_fer!$1:$1),0)),""))</f>
        <v/>
      </c>
      <c r="H98" s="6"/>
      <c r="I98" s="6"/>
      <c r="J98" t="str">
        <f>IFERROR(MATCH($C98,{"herbicide";"insecticide";"fungicide";"fertilizer"},0),"")</f>
        <v/>
      </c>
    </row>
    <row r="99" spans="4:10" x14ac:dyDescent="0.2">
      <c r="D99" t="str">
        <f>IF(OR($B99="",$J99=""),"",IFERROR(INDEX(CHOOSE($J99,prod_her!$A:$J,prod_ins!$A:$J,prod_fun!$A:$J,prod_fer!$A:$L),MATCH($B99,CHOOSE($J99,prod_her!$A:$A,prod_ins!$A:$A,prod_fun!$A:$A,prod_fer!$A:$A),0),MATCH(D$1,CHOOSE($J99,prod_her!$1:$1,prod_ins!$1:$1,prod_fun!$1:$1,prod_fer!$1:$1),0)),""))</f>
        <v/>
      </c>
      <c r="E99" t="str">
        <f>IF(OR($B99="",$J99=""),"",IFERROR(INDEX(CHOOSE($J99,prod_her!$A:$J,prod_ins!$A:$J,prod_fun!$A:$J,prod_fer!$A:$L),MATCH($B99,CHOOSE($J99,prod_her!$A:$A,prod_ins!$A:$A,prod_fun!$A:$A,prod_fer!$A:$A),0),MATCH(E$1,CHOOSE($J99,prod_her!$1:$1,prod_ins!$1:$1,prod_fun!$1:$1,prod_fer!$1:$1),0)),""))</f>
        <v/>
      </c>
      <c r="F99" t="str">
        <f>IF(OR($B99="",$J99=""),"",IFERROR(INDEX(CHOOSE($J99,prod_her!$A:$J,prod_ins!$A:$J,prod_fun!$A:$J,prod_fer!$A:$L),MATCH($B99,CHOOSE($J99,prod_her!$A:$A,prod_ins!$A:$A,prod_fun!$A:$A,prod_fer!$A:$A),0),MATCH(F$1,CHOOSE($J99,prod_her!$1:$1,prod_ins!$1:$1,prod_fun!$1:$1,prod_fer!$1:$1),0)),""))</f>
        <v/>
      </c>
      <c r="G99" t="str">
        <f>IF(OR($B99="",$J99=""),"",IFERROR(INDEX(CHOOSE($J99,prod_her!$A:$J,prod_ins!$A:$J,prod_fun!$A:$J,prod_fer!$A:$L),MATCH($B99,CHOOSE($J99,prod_her!$A:$A,prod_ins!$A:$A,prod_fun!$A:$A,prod_fer!$A:$A),0),MATCH(G$1,CHOOSE($J99,prod_her!$1:$1,prod_ins!$1:$1,prod_fun!$1:$1,prod_fer!$1:$1),0)),""))</f>
        <v/>
      </c>
      <c r="H99" s="6"/>
      <c r="I99" s="6"/>
      <c r="J99" t="str">
        <f>IFERROR(MATCH($C99,{"herbicide";"insecticide";"fungicide";"fertilizer"},0),"")</f>
        <v/>
      </c>
    </row>
    <row r="100" spans="4:10" x14ac:dyDescent="0.2">
      <c r="D100" t="str">
        <f>IF(OR($B100="",$J100=""),"",IFERROR(INDEX(CHOOSE($J100,prod_her!$A:$J,prod_ins!$A:$J,prod_fun!$A:$J,prod_fer!$A:$L),MATCH($B100,CHOOSE($J100,prod_her!$A:$A,prod_ins!$A:$A,prod_fun!$A:$A,prod_fer!$A:$A),0),MATCH(D$1,CHOOSE($J100,prod_her!$1:$1,prod_ins!$1:$1,prod_fun!$1:$1,prod_fer!$1:$1),0)),""))</f>
        <v/>
      </c>
      <c r="E100" t="str">
        <f>IF(OR($B100="",$J100=""),"",IFERROR(INDEX(CHOOSE($J100,prod_her!$A:$J,prod_ins!$A:$J,prod_fun!$A:$J,prod_fer!$A:$L),MATCH($B100,CHOOSE($J100,prod_her!$A:$A,prod_ins!$A:$A,prod_fun!$A:$A,prod_fer!$A:$A),0),MATCH(E$1,CHOOSE($J100,prod_her!$1:$1,prod_ins!$1:$1,prod_fun!$1:$1,prod_fer!$1:$1),0)),""))</f>
        <v/>
      </c>
      <c r="F100" t="str">
        <f>IF(OR($B100="",$J100=""),"",IFERROR(INDEX(CHOOSE($J100,prod_her!$A:$J,prod_ins!$A:$J,prod_fun!$A:$J,prod_fer!$A:$L),MATCH($B100,CHOOSE($J100,prod_her!$A:$A,prod_ins!$A:$A,prod_fun!$A:$A,prod_fer!$A:$A),0),MATCH(F$1,CHOOSE($J100,prod_her!$1:$1,prod_ins!$1:$1,prod_fun!$1:$1,prod_fer!$1:$1),0)),""))</f>
        <v/>
      </c>
      <c r="G100" t="str">
        <f>IF(OR($B100="",$J100=""),"",IFERROR(INDEX(CHOOSE($J100,prod_her!$A:$J,prod_ins!$A:$J,prod_fun!$A:$J,prod_fer!$A:$L),MATCH($B100,CHOOSE($J100,prod_her!$A:$A,prod_ins!$A:$A,prod_fun!$A:$A,prod_fer!$A:$A),0),MATCH(G$1,CHOOSE($J100,prod_her!$1:$1,prod_ins!$1:$1,prod_fun!$1:$1,prod_fer!$1:$1),0)),""))</f>
        <v/>
      </c>
      <c r="H100" s="6"/>
      <c r="I100" s="6"/>
      <c r="J100" t="str">
        <f>IFERROR(MATCH($C100,{"herbicide";"insecticide";"fungicide";"fertilizer"},0),"")</f>
        <v/>
      </c>
    </row>
    <row r="101" spans="4:10" x14ac:dyDescent="0.2">
      <c r="D101" t="str">
        <f>IF(OR($B101="",$J101=""),"",IFERROR(INDEX(CHOOSE($J101,prod_her!$A:$J,prod_ins!$A:$J,prod_fun!$A:$J,prod_fer!$A:$L),MATCH($B101,CHOOSE($J101,prod_her!$A:$A,prod_ins!$A:$A,prod_fun!$A:$A,prod_fer!$A:$A),0),MATCH(D$1,CHOOSE($J101,prod_her!$1:$1,prod_ins!$1:$1,prod_fun!$1:$1,prod_fer!$1:$1),0)),""))</f>
        <v/>
      </c>
      <c r="E101" t="str">
        <f>IF(OR($B101="",$J101=""),"",IFERROR(INDEX(CHOOSE($J101,prod_her!$A:$J,prod_ins!$A:$J,prod_fun!$A:$J,prod_fer!$A:$L),MATCH($B101,CHOOSE($J101,prod_her!$A:$A,prod_ins!$A:$A,prod_fun!$A:$A,prod_fer!$A:$A),0),MATCH(E$1,CHOOSE($J101,prod_her!$1:$1,prod_ins!$1:$1,prod_fun!$1:$1,prod_fer!$1:$1),0)),""))</f>
        <v/>
      </c>
      <c r="F101" t="str">
        <f>IF(OR($B101="",$J101=""),"",IFERROR(INDEX(CHOOSE($J101,prod_her!$A:$J,prod_ins!$A:$J,prod_fun!$A:$J,prod_fer!$A:$L),MATCH($B101,CHOOSE($J101,prod_her!$A:$A,prod_ins!$A:$A,prod_fun!$A:$A,prod_fer!$A:$A),0),MATCH(F$1,CHOOSE($J101,prod_her!$1:$1,prod_ins!$1:$1,prod_fun!$1:$1,prod_fer!$1:$1),0)),""))</f>
        <v/>
      </c>
      <c r="G101" t="str">
        <f>IF(OR($B101="",$J101=""),"",IFERROR(INDEX(CHOOSE($J101,prod_her!$A:$J,prod_ins!$A:$J,prod_fun!$A:$J,prod_fer!$A:$L),MATCH($B101,CHOOSE($J101,prod_her!$A:$A,prod_ins!$A:$A,prod_fun!$A:$A,prod_fer!$A:$A),0),MATCH(G$1,CHOOSE($J101,prod_her!$1:$1,prod_ins!$1:$1,prod_fun!$1:$1,prod_fer!$1:$1),0)),""))</f>
        <v/>
      </c>
      <c r="H101" s="6"/>
      <c r="I101" s="6"/>
      <c r="J101" t="str">
        <f>IFERROR(MATCH($C101,{"herbicide";"insecticide";"fungicide";"fertilizer"},0),"")</f>
        <v/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C11EAC1-9BA5-EA4D-B068-44980A8605C8}">
          <x14:formula1>
            <xm:f>ref!$A$22:$A$24</xm:f>
          </x14:formula1>
          <xm:sqref>C2:C31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E33" sqref="E33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151</v>
      </c>
      <c r="K1" t="s">
        <v>152</v>
      </c>
      <c r="O1" t="s">
        <v>288</v>
      </c>
    </row>
    <row r="2" spans="1:15" x14ac:dyDescent="0.2">
      <c r="A2" t="s">
        <v>12</v>
      </c>
      <c r="B2" t="s">
        <v>52</v>
      </c>
      <c r="D2" t="s">
        <v>29</v>
      </c>
      <c r="E2" t="s">
        <v>41</v>
      </c>
      <c r="G2" t="s">
        <v>21</v>
      </c>
      <c r="H2" t="s">
        <v>48</v>
      </c>
      <c r="O2" t="s">
        <v>289</v>
      </c>
    </row>
    <row r="3" spans="1:15" x14ac:dyDescent="0.2">
      <c r="A3" t="s">
        <v>13</v>
      </c>
      <c r="B3" t="s">
        <v>54</v>
      </c>
      <c r="D3" t="s">
        <v>30</v>
      </c>
      <c r="E3" t="s">
        <v>97</v>
      </c>
      <c r="G3" t="s">
        <v>22</v>
      </c>
      <c r="H3" t="s">
        <v>133</v>
      </c>
      <c r="K3" t="s">
        <v>154</v>
      </c>
      <c r="L3" t="s">
        <v>153</v>
      </c>
      <c r="O3" t="s">
        <v>290</v>
      </c>
    </row>
    <row r="4" spans="1:15" x14ac:dyDescent="0.2">
      <c r="A4" t="s">
        <v>14</v>
      </c>
      <c r="B4" t="s">
        <v>59</v>
      </c>
      <c r="D4" t="s">
        <v>31</v>
      </c>
      <c r="E4" t="s">
        <v>101</v>
      </c>
      <c r="G4" t="s">
        <v>23</v>
      </c>
      <c r="H4" t="s">
        <v>134</v>
      </c>
      <c r="K4" t="s">
        <v>155</v>
      </c>
      <c r="L4" s="1" t="s">
        <v>170</v>
      </c>
      <c r="O4" t="s">
        <v>291</v>
      </c>
    </row>
    <row r="5" spans="1:15" x14ac:dyDescent="0.2">
      <c r="A5" t="s">
        <v>15</v>
      </c>
      <c r="B5" t="s">
        <v>63</v>
      </c>
      <c r="D5" t="s">
        <v>32</v>
      </c>
      <c r="E5" t="s">
        <v>106</v>
      </c>
      <c r="G5" t="s">
        <v>24</v>
      </c>
      <c r="H5" t="s">
        <v>135</v>
      </c>
      <c r="K5" t="s">
        <v>155</v>
      </c>
      <c r="L5" s="1" t="s">
        <v>35</v>
      </c>
      <c r="O5" t="s">
        <v>292</v>
      </c>
    </row>
    <row r="6" spans="1:15" x14ac:dyDescent="0.2">
      <c r="A6" t="s">
        <v>16</v>
      </c>
      <c r="B6" t="s">
        <v>65</v>
      </c>
      <c r="D6" t="s">
        <v>33</v>
      </c>
      <c r="E6" t="s">
        <v>108</v>
      </c>
      <c r="G6" t="s">
        <v>25</v>
      </c>
      <c r="H6" t="s">
        <v>49</v>
      </c>
      <c r="K6" t="s">
        <v>155</v>
      </c>
      <c r="L6" t="s">
        <v>34</v>
      </c>
      <c r="O6" t="s">
        <v>293</v>
      </c>
    </row>
    <row r="7" spans="1:15" x14ac:dyDescent="0.2">
      <c r="A7" t="s">
        <v>68</v>
      </c>
      <c r="B7" t="s">
        <v>72</v>
      </c>
      <c r="D7" t="s">
        <v>47</v>
      </c>
      <c r="E7" t="s">
        <v>46</v>
      </c>
      <c r="G7" t="s">
        <v>51</v>
      </c>
      <c r="H7" t="s">
        <v>136</v>
      </c>
      <c r="K7" t="s">
        <v>155</v>
      </c>
      <c r="L7" s="1" t="s">
        <v>171</v>
      </c>
      <c r="O7" t="s">
        <v>294</v>
      </c>
    </row>
    <row r="8" spans="1:15" x14ac:dyDescent="0.2">
      <c r="A8" t="s">
        <v>73</v>
      </c>
      <c r="B8" t="s">
        <v>77</v>
      </c>
      <c r="D8" t="s">
        <v>115</v>
      </c>
      <c r="E8" t="s">
        <v>45</v>
      </c>
      <c r="G8" t="s">
        <v>130</v>
      </c>
      <c r="H8" t="s">
        <v>137</v>
      </c>
      <c r="K8" t="s">
        <v>155</v>
      </c>
      <c r="L8" s="1" t="s">
        <v>157</v>
      </c>
      <c r="O8" t="s">
        <v>295</v>
      </c>
    </row>
    <row r="9" spans="1:15" x14ac:dyDescent="0.2">
      <c r="A9" t="s">
        <v>75</v>
      </c>
      <c r="B9" t="s">
        <v>17</v>
      </c>
      <c r="D9" t="s">
        <v>116</v>
      </c>
      <c r="E9" t="s">
        <v>43</v>
      </c>
      <c r="G9" t="s">
        <v>131</v>
      </c>
      <c r="H9" t="s">
        <v>50</v>
      </c>
      <c r="K9" t="s">
        <v>156</v>
      </c>
      <c r="L9" s="1" t="s">
        <v>157</v>
      </c>
      <c r="O9" t="s">
        <v>296</v>
      </c>
    </row>
    <row r="10" spans="1:15" x14ac:dyDescent="0.2">
      <c r="A10" t="s">
        <v>80</v>
      </c>
      <c r="B10" t="s">
        <v>85</v>
      </c>
      <c r="D10" t="s">
        <v>117</v>
      </c>
      <c r="E10" t="s">
        <v>110</v>
      </c>
      <c r="G10" t="s">
        <v>132</v>
      </c>
      <c r="H10" t="s">
        <v>138</v>
      </c>
      <c r="K10" t="s">
        <v>158</v>
      </c>
      <c r="L10" s="1" t="s">
        <v>34</v>
      </c>
      <c r="O10" t="s">
        <v>297</v>
      </c>
    </row>
    <row r="11" spans="1:15" x14ac:dyDescent="0.2">
      <c r="A11" t="s">
        <v>83</v>
      </c>
      <c r="B11" t="s">
        <v>88</v>
      </c>
      <c r="D11" t="s">
        <v>118</v>
      </c>
      <c r="E11" t="s">
        <v>112</v>
      </c>
      <c r="K11" t="s">
        <v>158</v>
      </c>
      <c r="L11" s="1" t="s">
        <v>36</v>
      </c>
      <c r="O11" t="s">
        <v>298</v>
      </c>
    </row>
    <row r="12" spans="1:15" x14ac:dyDescent="0.2">
      <c r="A12" t="s">
        <v>84</v>
      </c>
      <c r="B12" t="s">
        <v>91</v>
      </c>
      <c r="D12" t="s">
        <v>119</v>
      </c>
      <c r="E12" t="s">
        <v>114</v>
      </c>
      <c r="K12" t="s">
        <v>158</v>
      </c>
      <c r="L12" s="1" t="s">
        <v>159</v>
      </c>
      <c r="O12" t="s">
        <v>299</v>
      </c>
    </row>
    <row r="13" spans="1:15" x14ac:dyDescent="0.2">
      <c r="D13" t="s">
        <v>120</v>
      </c>
      <c r="E13" t="s">
        <v>172</v>
      </c>
      <c r="K13" t="s">
        <v>160</v>
      </c>
      <c r="L13" s="1" t="s">
        <v>161</v>
      </c>
      <c r="O13" t="s">
        <v>300</v>
      </c>
    </row>
    <row r="14" spans="1:15" x14ac:dyDescent="0.2">
      <c r="K14" t="s">
        <v>162</v>
      </c>
      <c r="L14" s="1" t="s">
        <v>163</v>
      </c>
      <c r="O14" t="s">
        <v>301</v>
      </c>
    </row>
    <row r="15" spans="1:15" x14ac:dyDescent="0.2">
      <c r="K15" t="s">
        <v>166</v>
      </c>
      <c r="L15" s="1" t="s">
        <v>164</v>
      </c>
      <c r="O15" t="s">
        <v>302</v>
      </c>
    </row>
    <row r="16" spans="1:15" x14ac:dyDescent="0.2">
      <c r="A16" t="s">
        <v>802</v>
      </c>
      <c r="C16" t="s">
        <v>835</v>
      </c>
      <c r="K16" t="s">
        <v>167</v>
      </c>
      <c r="L16" s="1" t="s">
        <v>165</v>
      </c>
      <c r="O16" t="s">
        <v>303</v>
      </c>
    </row>
    <row r="17" spans="1:15" x14ac:dyDescent="0.2">
      <c r="A17" t="s">
        <v>830</v>
      </c>
      <c r="C17" t="s">
        <v>845</v>
      </c>
      <c r="K17" t="s">
        <v>168</v>
      </c>
      <c r="L17" s="1" t="s">
        <v>37</v>
      </c>
      <c r="O17" t="s">
        <v>304</v>
      </c>
    </row>
    <row r="18" spans="1:15" x14ac:dyDescent="0.2">
      <c r="A18" t="s">
        <v>831</v>
      </c>
      <c r="C18" t="s">
        <v>836</v>
      </c>
      <c r="K18" t="s">
        <v>169</v>
      </c>
      <c r="L18" s="1" t="s">
        <v>36</v>
      </c>
      <c r="O18" t="s">
        <v>305</v>
      </c>
    </row>
    <row r="19" spans="1:15" x14ac:dyDescent="0.2">
      <c r="A19" t="s">
        <v>832</v>
      </c>
      <c r="C19" t="s">
        <v>846</v>
      </c>
      <c r="L19" s="1"/>
      <c r="O19" t="s">
        <v>306</v>
      </c>
    </row>
    <row r="20" spans="1:15" x14ac:dyDescent="0.2">
      <c r="O20" t="s">
        <v>307</v>
      </c>
    </row>
    <row r="21" spans="1:15" x14ac:dyDescent="0.2">
      <c r="O21" t="s">
        <v>308</v>
      </c>
    </row>
    <row r="22" spans="1:15" x14ac:dyDescent="0.2">
      <c r="A22" t="s">
        <v>1051</v>
      </c>
      <c r="O22" t="s">
        <v>309</v>
      </c>
    </row>
    <row r="23" spans="1:15" x14ac:dyDescent="0.2">
      <c r="A23" t="s">
        <v>1052</v>
      </c>
      <c r="O23" t="s">
        <v>310</v>
      </c>
    </row>
    <row r="24" spans="1:15" x14ac:dyDescent="0.2">
      <c r="A24" t="s">
        <v>1053</v>
      </c>
      <c r="O24" t="s">
        <v>311</v>
      </c>
    </row>
    <row r="25" spans="1:15" x14ac:dyDescent="0.2">
      <c r="O25" t="s">
        <v>312</v>
      </c>
    </row>
    <row r="26" spans="1:15" x14ac:dyDescent="0.2">
      <c r="O26" t="s">
        <v>313</v>
      </c>
    </row>
    <row r="27" spans="1:15" x14ac:dyDescent="0.2">
      <c r="O27" t="s">
        <v>314</v>
      </c>
    </row>
    <row r="28" spans="1:15" x14ac:dyDescent="0.2">
      <c r="O28" t="s">
        <v>315</v>
      </c>
    </row>
    <row r="29" spans="1:15" x14ac:dyDescent="0.2">
      <c r="O29" t="s">
        <v>316</v>
      </c>
    </row>
    <row r="30" spans="1:15" x14ac:dyDescent="0.2">
      <c r="O30" t="s">
        <v>317</v>
      </c>
    </row>
    <row r="31" spans="1:15" x14ac:dyDescent="0.2">
      <c r="O31" t="s">
        <v>318</v>
      </c>
    </row>
    <row r="32" spans="1:15" x14ac:dyDescent="0.2">
      <c r="O32" t="s">
        <v>319</v>
      </c>
    </row>
    <row r="33" spans="15:15" x14ac:dyDescent="0.2">
      <c r="O33" t="s">
        <v>320</v>
      </c>
    </row>
    <row r="34" spans="15:15" x14ac:dyDescent="0.2">
      <c r="O34" t="s">
        <v>321</v>
      </c>
    </row>
    <row r="35" spans="15:15" x14ac:dyDescent="0.2">
      <c r="O35" t="s">
        <v>322</v>
      </c>
    </row>
    <row r="36" spans="15:15" x14ac:dyDescent="0.2">
      <c r="O36" t="s">
        <v>323</v>
      </c>
    </row>
    <row r="37" spans="15:15" x14ac:dyDescent="0.2">
      <c r="O37" t="s">
        <v>324</v>
      </c>
    </row>
    <row r="38" spans="15:15" x14ac:dyDescent="0.2">
      <c r="O38" t="s">
        <v>325</v>
      </c>
    </row>
    <row r="39" spans="15:15" x14ac:dyDescent="0.2">
      <c r="O39" t="s">
        <v>326</v>
      </c>
    </row>
    <row r="40" spans="15:15" x14ac:dyDescent="0.2">
      <c r="O40" t="s">
        <v>327</v>
      </c>
    </row>
    <row r="41" spans="15:15" x14ac:dyDescent="0.2">
      <c r="O41" t="s">
        <v>328</v>
      </c>
    </row>
    <row r="42" spans="15:15" x14ac:dyDescent="0.2">
      <c r="O42" t="s">
        <v>329</v>
      </c>
    </row>
    <row r="43" spans="15:15" x14ac:dyDescent="0.2">
      <c r="O43" t="s">
        <v>330</v>
      </c>
    </row>
    <row r="44" spans="15:15" x14ac:dyDescent="0.2">
      <c r="O44" t="s">
        <v>331</v>
      </c>
    </row>
    <row r="45" spans="15:15" x14ac:dyDescent="0.2">
      <c r="O45" t="s">
        <v>332</v>
      </c>
    </row>
    <row r="46" spans="15:15" x14ac:dyDescent="0.2">
      <c r="O46" t="s">
        <v>333</v>
      </c>
    </row>
    <row r="47" spans="15:15" x14ac:dyDescent="0.2">
      <c r="O47" t="s">
        <v>334</v>
      </c>
    </row>
    <row r="48" spans="15:15" x14ac:dyDescent="0.2">
      <c r="O48" t="s">
        <v>335</v>
      </c>
    </row>
    <row r="49" spans="15:15" x14ac:dyDescent="0.2">
      <c r="O49" t="s">
        <v>336</v>
      </c>
    </row>
    <row r="50" spans="15:15" x14ac:dyDescent="0.2">
      <c r="O50" t="s">
        <v>337</v>
      </c>
    </row>
    <row r="51" spans="15:15" x14ac:dyDescent="0.2">
      <c r="O51" t="s">
        <v>338</v>
      </c>
    </row>
    <row r="52" spans="15:15" x14ac:dyDescent="0.2">
      <c r="O52" t="s">
        <v>339</v>
      </c>
    </row>
    <row r="53" spans="15:15" x14ac:dyDescent="0.2">
      <c r="O53" t="s">
        <v>340</v>
      </c>
    </row>
    <row r="54" spans="15:15" x14ac:dyDescent="0.2">
      <c r="O54" t="s">
        <v>341</v>
      </c>
    </row>
    <row r="55" spans="15:15" x14ac:dyDescent="0.2">
      <c r="O55" t="s">
        <v>342</v>
      </c>
    </row>
    <row r="56" spans="15:15" x14ac:dyDescent="0.2">
      <c r="O56" t="s">
        <v>343</v>
      </c>
    </row>
    <row r="57" spans="15:15" x14ac:dyDescent="0.2">
      <c r="O57" t="s">
        <v>344</v>
      </c>
    </row>
    <row r="58" spans="15:15" x14ac:dyDescent="0.2">
      <c r="O58" t="s">
        <v>345</v>
      </c>
    </row>
    <row r="59" spans="15:15" x14ac:dyDescent="0.2">
      <c r="O59" t="s">
        <v>346</v>
      </c>
    </row>
    <row r="60" spans="15:15" x14ac:dyDescent="0.2">
      <c r="O60" t="s">
        <v>347</v>
      </c>
    </row>
    <row r="61" spans="15:15" x14ac:dyDescent="0.2">
      <c r="O61" t="s">
        <v>348</v>
      </c>
    </row>
    <row r="62" spans="15:15" x14ac:dyDescent="0.2">
      <c r="O62" t="s">
        <v>349</v>
      </c>
    </row>
    <row r="63" spans="15:15" x14ac:dyDescent="0.2">
      <c r="O63" t="s">
        <v>350</v>
      </c>
    </row>
    <row r="64" spans="15:15" x14ac:dyDescent="0.2">
      <c r="O64" t="s">
        <v>351</v>
      </c>
    </row>
    <row r="65" spans="15:15" x14ac:dyDescent="0.2">
      <c r="O65" t="s">
        <v>352</v>
      </c>
    </row>
    <row r="66" spans="15:15" x14ac:dyDescent="0.2">
      <c r="O66" t="s">
        <v>353</v>
      </c>
    </row>
    <row r="67" spans="15:15" x14ac:dyDescent="0.2">
      <c r="O67" t="s">
        <v>354</v>
      </c>
    </row>
    <row r="68" spans="15:15" x14ac:dyDescent="0.2">
      <c r="O68" t="s">
        <v>355</v>
      </c>
    </row>
    <row r="69" spans="15:15" x14ac:dyDescent="0.2">
      <c r="O69" t="s">
        <v>356</v>
      </c>
    </row>
    <row r="70" spans="15:15" x14ac:dyDescent="0.2">
      <c r="O70" t="s">
        <v>357</v>
      </c>
    </row>
    <row r="71" spans="15:15" x14ac:dyDescent="0.2">
      <c r="O71" t="s">
        <v>358</v>
      </c>
    </row>
    <row r="72" spans="15:15" x14ac:dyDescent="0.2">
      <c r="O72" t="s">
        <v>359</v>
      </c>
    </row>
    <row r="73" spans="15:15" x14ac:dyDescent="0.2">
      <c r="O73" t="s">
        <v>360</v>
      </c>
    </row>
    <row r="74" spans="15:15" x14ac:dyDescent="0.2">
      <c r="O74" t="s">
        <v>361</v>
      </c>
    </row>
    <row r="75" spans="15:15" x14ac:dyDescent="0.2">
      <c r="O75" t="s">
        <v>362</v>
      </c>
    </row>
    <row r="76" spans="15:15" x14ac:dyDescent="0.2">
      <c r="O76" t="s">
        <v>363</v>
      </c>
    </row>
    <row r="77" spans="15:15" x14ac:dyDescent="0.2">
      <c r="O77" t="s">
        <v>364</v>
      </c>
    </row>
    <row r="78" spans="15:15" x14ac:dyDescent="0.2">
      <c r="O78" t="s">
        <v>279</v>
      </c>
    </row>
    <row r="79" spans="15:15" x14ac:dyDescent="0.2">
      <c r="O79" t="s">
        <v>365</v>
      </c>
    </row>
    <row r="80" spans="15:15" x14ac:dyDescent="0.2">
      <c r="O80" t="s">
        <v>366</v>
      </c>
    </row>
    <row r="81" spans="15:15" x14ac:dyDescent="0.2">
      <c r="O81" t="s">
        <v>367</v>
      </c>
    </row>
    <row r="82" spans="15:15" x14ac:dyDescent="0.2">
      <c r="O82" t="s">
        <v>368</v>
      </c>
    </row>
    <row r="83" spans="15:15" x14ac:dyDescent="0.2">
      <c r="O83" t="s">
        <v>369</v>
      </c>
    </row>
    <row r="84" spans="15:15" x14ac:dyDescent="0.2">
      <c r="O84" t="s">
        <v>370</v>
      </c>
    </row>
    <row r="85" spans="15:15" x14ac:dyDescent="0.2">
      <c r="O85" t="s">
        <v>371</v>
      </c>
    </row>
    <row r="86" spans="15:15" x14ac:dyDescent="0.2">
      <c r="O86" t="s">
        <v>372</v>
      </c>
    </row>
    <row r="87" spans="15:15" x14ac:dyDescent="0.2">
      <c r="O87" t="s">
        <v>373</v>
      </c>
    </row>
    <row r="88" spans="15:15" x14ac:dyDescent="0.2">
      <c r="O88" t="s">
        <v>275</v>
      </c>
    </row>
    <row r="89" spans="15:15" x14ac:dyDescent="0.2">
      <c r="O89" t="s">
        <v>374</v>
      </c>
    </row>
    <row r="90" spans="15:15" x14ac:dyDescent="0.2">
      <c r="O90" t="s">
        <v>278</v>
      </c>
    </row>
    <row r="91" spans="15:15" x14ac:dyDescent="0.2">
      <c r="O91" t="s">
        <v>375</v>
      </c>
    </row>
    <row r="92" spans="15:15" x14ac:dyDescent="0.2">
      <c r="O92" t="s">
        <v>376</v>
      </c>
    </row>
    <row r="93" spans="15:15" x14ac:dyDescent="0.2">
      <c r="O93" t="s">
        <v>377</v>
      </c>
    </row>
    <row r="94" spans="15:15" x14ac:dyDescent="0.2">
      <c r="O94" t="s">
        <v>263</v>
      </c>
    </row>
    <row r="95" spans="15:15" x14ac:dyDescent="0.2">
      <c r="O95" t="s">
        <v>378</v>
      </c>
    </row>
    <row r="96" spans="15:15" x14ac:dyDescent="0.2">
      <c r="O96" t="s">
        <v>379</v>
      </c>
    </row>
    <row r="97" spans="15:15" x14ac:dyDescent="0.2">
      <c r="O97" t="s">
        <v>380</v>
      </c>
    </row>
    <row r="98" spans="15:15" x14ac:dyDescent="0.2">
      <c r="O98" t="s">
        <v>381</v>
      </c>
    </row>
    <row r="99" spans="15:15" x14ac:dyDescent="0.2">
      <c r="O99" t="s">
        <v>382</v>
      </c>
    </row>
    <row r="100" spans="15:15" x14ac:dyDescent="0.2">
      <c r="O100" t="s">
        <v>383</v>
      </c>
    </row>
    <row r="101" spans="15:15" x14ac:dyDescent="0.2">
      <c r="O101" t="s">
        <v>384</v>
      </c>
    </row>
    <row r="102" spans="15:15" x14ac:dyDescent="0.2">
      <c r="O102" t="s">
        <v>385</v>
      </c>
    </row>
    <row r="103" spans="15:15" x14ac:dyDescent="0.2">
      <c r="O103" t="s">
        <v>386</v>
      </c>
    </row>
    <row r="104" spans="15:15" x14ac:dyDescent="0.2">
      <c r="O104" t="s">
        <v>387</v>
      </c>
    </row>
    <row r="105" spans="15:15" x14ac:dyDescent="0.2">
      <c r="O105" t="s">
        <v>388</v>
      </c>
    </row>
    <row r="106" spans="15:15" x14ac:dyDescent="0.2">
      <c r="O106" t="s">
        <v>389</v>
      </c>
    </row>
    <row r="107" spans="15:15" x14ac:dyDescent="0.2">
      <c r="O107" t="s">
        <v>390</v>
      </c>
    </row>
    <row r="108" spans="15:15" x14ac:dyDescent="0.2">
      <c r="O108" t="s">
        <v>391</v>
      </c>
    </row>
    <row r="109" spans="15:15" x14ac:dyDescent="0.2">
      <c r="O109" t="s">
        <v>392</v>
      </c>
    </row>
    <row r="110" spans="15:15" x14ac:dyDescent="0.2">
      <c r="O110" t="s">
        <v>393</v>
      </c>
    </row>
    <row r="111" spans="15:15" x14ac:dyDescent="0.2">
      <c r="O111" t="s">
        <v>394</v>
      </c>
    </row>
    <row r="112" spans="15:15" x14ac:dyDescent="0.2">
      <c r="O112" t="s">
        <v>395</v>
      </c>
    </row>
    <row r="113" spans="15:15" x14ac:dyDescent="0.2">
      <c r="O113" t="s">
        <v>396</v>
      </c>
    </row>
    <row r="114" spans="15:15" x14ac:dyDescent="0.2">
      <c r="O114" t="s">
        <v>397</v>
      </c>
    </row>
    <row r="115" spans="15:15" x14ac:dyDescent="0.2">
      <c r="O115" t="s">
        <v>398</v>
      </c>
    </row>
    <row r="116" spans="15:15" x14ac:dyDescent="0.2">
      <c r="O116" t="s">
        <v>399</v>
      </c>
    </row>
    <row r="117" spans="15:15" x14ac:dyDescent="0.2">
      <c r="O117" t="s">
        <v>400</v>
      </c>
    </row>
    <row r="118" spans="15:15" x14ac:dyDescent="0.2">
      <c r="O118" t="s">
        <v>401</v>
      </c>
    </row>
    <row r="119" spans="15:15" x14ac:dyDescent="0.2">
      <c r="O119" t="s">
        <v>402</v>
      </c>
    </row>
    <row r="120" spans="15:15" x14ac:dyDescent="0.2">
      <c r="O120" t="s">
        <v>403</v>
      </c>
    </row>
    <row r="121" spans="15:15" x14ac:dyDescent="0.2">
      <c r="O121" t="s">
        <v>404</v>
      </c>
    </row>
    <row r="122" spans="15:15" x14ac:dyDescent="0.2">
      <c r="O122" t="s">
        <v>405</v>
      </c>
    </row>
    <row r="123" spans="15:15" x14ac:dyDescent="0.2">
      <c r="O123" t="s">
        <v>406</v>
      </c>
    </row>
    <row r="124" spans="15:15" x14ac:dyDescent="0.2">
      <c r="O124" t="s">
        <v>407</v>
      </c>
    </row>
    <row r="125" spans="15:15" x14ac:dyDescent="0.2">
      <c r="O125" t="s">
        <v>408</v>
      </c>
    </row>
    <row r="126" spans="15:15" x14ac:dyDescent="0.2">
      <c r="O126" t="s">
        <v>409</v>
      </c>
    </row>
    <row r="127" spans="15:15" x14ac:dyDescent="0.2">
      <c r="O127" t="s">
        <v>410</v>
      </c>
    </row>
    <row r="128" spans="15:15" x14ac:dyDescent="0.2">
      <c r="O128" t="s">
        <v>411</v>
      </c>
    </row>
    <row r="129" spans="15:15" x14ac:dyDescent="0.2">
      <c r="O129" t="s">
        <v>412</v>
      </c>
    </row>
    <row r="130" spans="15:15" x14ac:dyDescent="0.2">
      <c r="O130" t="s">
        <v>413</v>
      </c>
    </row>
    <row r="131" spans="15:15" x14ac:dyDescent="0.2">
      <c r="O131" t="s">
        <v>414</v>
      </c>
    </row>
    <row r="132" spans="15:15" x14ac:dyDescent="0.2">
      <c r="O132" t="s">
        <v>415</v>
      </c>
    </row>
    <row r="133" spans="15:15" x14ac:dyDescent="0.2">
      <c r="O133" t="s">
        <v>416</v>
      </c>
    </row>
    <row r="134" spans="15:15" x14ac:dyDescent="0.2">
      <c r="O134" t="s">
        <v>417</v>
      </c>
    </row>
    <row r="135" spans="15:15" x14ac:dyDescent="0.2">
      <c r="O135" t="s">
        <v>418</v>
      </c>
    </row>
    <row r="136" spans="15:15" x14ac:dyDescent="0.2">
      <c r="O136" t="s">
        <v>419</v>
      </c>
    </row>
    <row r="137" spans="15:15" x14ac:dyDescent="0.2">
      <c r="O137" t="s">
        <v>420</v>
      </c>
    </row>
    <row r="138" spans="15:15" x14ac:dyDescent="0.2">
      <c r="O138" t="s">
        <v>421</v>
      </c>
    </row>
    <row r="139" spans="15:15" x14ac:dyDescent="0.2">
      <c r="O139" t="s">
        <v>422</v>
      </c>
    </row>
    <row r="140" spans="15:15" x14ac:dyDescent="0.2">
      <c r="O140" t="s">
        <v>423</v>
      </c>
    </row>
    <row r="141" spans="15:15" x14ac:dyDescent="0.2">
      <c r="O141" t="s">
        <v>424</v>
      </c>
    </row>
    <row r="142" spans="15:15" x14ac:dyDescent="0.2">
      <c r="O142" t="s">
        <v>425</v>
      </c>
    </row>
    <row r="143" spans="15:15" x14ac:dyDescent="0.2">
      <c r="O143" t="s">
        <v>426</v>
      </c>
    </row>
    <row r="144" spans="15:15" x14ac:dyDescent="0.2">
      <c r="O144" t="s">
        <v>427</v>
      </c>
    </row>
    <row r="145" spans="15:15" x14ac:dyDescent="0.2">
      <c r="O145" t="s">
        <v>428</v>
      </c>
    </row>
    <row r="146" spans="15:15" x14ac:dyDescent="0.2">
      <c r="O146" t="s">
        <v>429</v>
      </c>
    </row>
    <row r="147" spans="15:15" x14ac:dyDescent="0.2">
      <c r="O147" t="s">
        <v>430</v>
      </c>
    </row>
    <row r="148" spans="15:15" x14ac:dyDescent="0.2">
      <c r="O148" t="s">
        <v>431</v>
      </c>
    </row>
    <row r="149" spans="15:15" x14ac:dyDescent="0.2">
      <c r="O149" t="s">
        <v>432</v>
      </c>
    </row>
    <row r="150" spans="15:15" x14ac:dyDescent="0.2">
      <c r="O150" t="s">
        <v>433</v>
      </c>
    </row>
    <row r="151" spans="15:15" x14ac:dyDescent="0.2">
      <c r="O151" t="s">
        <v>434</v>
      </c>
    </row>
    <row r="152" spans="15:15" x14ac:dyDescent="0.2">
      <c r="O152" t="s">
        <v>435</v>
      </c>
    </row>
    <row r="153" spans="15:15" x14ac:dyDescent="0.2">
      <c r="O153" t="s">
        <v>436</v>
      </c>
    </row>
    <row r="154" spans="15:15" x14ac:dyDescent="0.2">
      <c r="O154" t="s">
        <v>437</v>
      </c>
    </row>
    <row r="155" spans="15:15" x14ac:dyDescent="0.2">
      <c r="O155" t="s">
        <v>438</v>
      </c>
    </row>
    <row r="156" spans="15:15" x14ac:dyDescent="0.2">
      <c r="O156" t="s">
        <v>439</v>
      </c>
    </row>
    <row r="157" spans="15:15" x14ac:dyDescent="0.2">
      <c r="O157" t="s">
        <v>440</v>
      </c>
    </row>
    <row r="158" spans="15:15" x14ac:dyDescent="0.2">
      <c r="O158" t="s">
        <v>441</v>
      </c>
    </row>
    <row r="159" spans="15:15" x14ac:dyDescent="0.2">
      <c r="O159" t="s">
        <v>442</v>
      </c>
    </row>
    <row r="160" spans="15:15" x14ac:dyDescent="0.2">
      <c r="O160" t="s">
        <v>443</v>
      </c>
    </row>
    <row r="161" spans="15:15" x14ac:dyDescent="0.2">
      <c r="O161" t="s">
        <v>444</v>
      </c>
    </row>
    <row r="162" spans="15:15" x14ac:dyDescent="0.2">
      <c r="O162" t="s">
        <v>445</v>
      </c>
    </row>
    <row r="163" spans="15:15" x14ac:dyDescent="0.2">
      <c r="O163" t="s">
        <v>446</v>
      </c>
    </row>
    <row r="164" spans="15:15" x14ac:dyDescent="0.2">
      <c r="O164" t="s">
        <v>447</v>
      </c>
    </row>
    <row r="165" spans="15:15" x14ac:dyDescent="0.2">
      <c r="O165" t="s">
        <v>448</v>
      </c>
    </row>
    <row r="166" spans="15:15" x14ac:dyDescent="0.2">
      <c r="O166" t="s">
        <v>449</v>
      </c>
    </row>
    <row r="167" spans="15:15" x14ac:dyDescent="0.2">
      <c r="O167" t="s">
        <v>450</v>
      </c>
    </row>
    <row r="168" spans="15:15" x14ac:dyDescent="0.2">
      <c r="O168" t="s">
        <v>451</v>
      </c>
    </row>
    <row r="169" spans="15:15" x14ac:dyDescent="0.2">
      <c r="O169" t="s">
        <v>452</v>
      </c>
    </row>
    <row r="170" spans="15:15" x14ac:dyDescent="0.2">
      <c r="O170" t="s">
        <v>453</v>
      </c>
    </row>
    <row r="171" spans="15:15" x14ac:dyDescent="0.2">
      <c r="O171" t="s">
        <v>454</v>
      </c>
    </row>
    <row r="172" spans="15:15" x14ac:dyDescent="0.2">
      <c r="O172" t="s">
        <v>455</v>
      </c>
    </row>
    <row r="173" spans="15:15" x14ac:dyDescent="0.2">
      <c r="O173" t="s">
        <v>456</v>
      </c>
    </row>
    <row r="174" spans="15:15" x14ac:dyDescent="0.2">
      <c r="O174" t="s">
        <v>457</v>
      </c>
    </row>
    <row r="175" spans="15:15" x14ac:dyDescent="0.2">
      <c r="O175" t="s">
        <v>458</v>
      </c>
    </row>
    <row r="176" spans="15:15" x14ac:dyDescent="0.2">
      <c r="O176" t="s">
        <v>459</v>
      </c>
    </row>
    <row r="177" spans="15:15" x14ac:dyDescent="0.2">
      <c r="O177" t="s">
        <v>460</v>
      </c>
    </row>
    <row r="178" spans="15:15" x14ac:dyDescent="0.2">
      <c r="O178" t="s">
        <v>461</v>
      </c>
    </row>
    <row r="179" spans="15:15" x14ac:dyDescent="0.2">
      <c r="O179" t="s">
        <v>462</v>
      </c>
    </row>
    <row r="180" spans="15:15" x14ac:dyDescent="0.2">
      <c r="O180" t="s">
        <v>463</v>
      </c>
    </row>
    <row r="181" spans="15:15" x14ac:dyDescent="0.2">
      <c r="O181" t="s">
        <v>464</v>
      </c>
    </row>
    <row r="182" spans="15:15" x14ac:dyDescent="0.2">
      <c r="O182" t="s">
        <v>465</v>
      </c>
    </row>
    <row r="183" spans="15:15" x14ac:dyDescent="0.2">
      <c r="O183" t="s">
        <v>466</v>
      </c>
    </row>
    <row r="184" spans="15:15" x14ac:dyDescent="0.2">
      <c r="O184" t="s">
        <v>467</v>
      </c>
    </row>
    <row r="185" spans="15:15" x14ac:dyDescent="0.2">
      <c r="O185" t="s">
        <v>468</v>
      </c>
    </row>
    <row r="186" spans="15:15" x14ac:dyDescent="0.2">
      <c r="O186" t="s">
        <v>469</v>
      </c>
    </row>
    <row r="187" spans="15:15" x14ac:dyDescent="0.2">
      <c r="O187" t="s">
        <v>470</v>
      </c>
    </row>
    <row r="188" spans="15:15" x14ac:dyDescent="0.2">
      <c r="O188" t="s">
        <v>471</v>
      </c>
    </row>
    <row r="189" spans="15:15" x14ac:dyDescent="0.2">
      <c r="O189" t="s">
        <v>472</v>
      </c>
    </row>
    <row r="190" spans="15:15" x14ac:dyDescent="0.2">
      <c r="O190" t="s">
        <v>473</v>
      </c>
    </row>
    <row r="191" spans="15:15" x14ac:dyDescent="0.2">
      <c r="O191" t="s">
        <v>474</v>
      </c>
    </row>
    <row r="192" spans="15:15" x14ac:dyDescent="0.2">
      <c r="O192" t="s">
        <v>475</v>
      </c>
    </row>
    <row r="193" spans="15:15" x14ac:dyDescent="0.2">
      <c r="O193" t="s">
        <v>476</v>
      </c>
    </row>
    <row r="194" spans="15:15" x14ac:dyDescent="0.2">
      <c r="O194" t="s">
        <v>477</v>
      </c>
    </row>
    <row r="195" spans="15:15" x14ac:dyDescent="0.2">
      <c r="O195" t="s">
        <v>478</v>
      </c>
    </row>
    <row r="196" spans="15:15" x14ac:dyDescent="0.2">
      <c r="O196" t="s">
        <v>479</v>
      </c>
    </row>
    <row r="197" spans="15:15" x14ac:dyDescent="0.2">
      <c r="O197" t="s">
        <v>480</v>
      </c>
    </row>
    <row r="198" spans="15:15" x14ac:dyDescent="0.2">
      <c r="O198" t="s">
        <v>481</v>
      </c>
    </row>
    <row r="199" spans="15:15" x14ac:dyDescent="0.2">
      <c r="O199" t="s">
        <v>482</v>
      </c>
    </row>
    <row r="200" spans="15:15" x14ac:dyDescent="0.2">
      <c r="O200" t="s">
        <v>483</v>
      </c>
    </row>
    <row r="201" spans="15:15" x14ac:dyDescent="0.2">
      <c r="O201" t="s">
        <v>484</v>
      </c>
    </row>
    <row r="202" spans="15:15" x14ac:dyDescent="0.2">
      <c r="O202" t="s">
        <v>485</v>
      </c>
    </row>
    <row r="203" spans="15:15" x14ac:dyDescent="0.2">
      <c r="O203" t="s">
        <v>486</v>
      </c>
    </row>
    <row r="204" spans="15:15" x14ac:dyDescent="0.2">
      <c r="O204" t="s">
        <v>487</v>
      </c>
    </row>
    <row r="205" spans="15:15" x14ac:dyDescent="0.2">
      <c r="O205" t="s">
        <v>488</v>
      </c>
    </row>
    <row r="206" spans="15:15" x14ac:dyDescent="0.2">
      <c r="O206" t="s">
        <v>489</v>
      </c>
    </row>
    <row r="207" spans="15:15" x14ac:dyDescent="0.2">
      <c r="O207" t="s">
        <v>490</v>
      </c>
    </row>
    <row r="208" spans="15:15" x14ac:dyDescent="0.2">
      <c r="O208" t="s">
        <v>491</v>
      </c>
    </row>
    <row r="209" spans="15:15" x14ac:dyDescent="0.2">
      <c r="O209" t="s">
        <v>492</v>
      </c>
    </row>
    <row r="210" spans="15:15" x14ac:dyDescent="0.2">
      <c r="O210" t="s">
        <v>493</v>
      </c>
    </row>
    <row r="211" spans="15:15" x14ac:dyDescent="0.2">
      <c r="O211" t="s">
        <v>494</v>
      </c>
    </row>
    <row r="212" spans="15:15" x14ac:dyDescent="0.2">
      <c r="O212" t="s">
        <v>495</v>
      </c>
    </row>
    <row r="213" spans="15:15" x14ac:dyDescent="0.2">
      <c r="O213" t="s">
        <v>262</v>
      </c>
    </row>
    <row r="214" spans="15:15" x14ac:dyDescent="0.2">
      <c r="O214" t="s">
        <v>496</v>
      </c>
    </row>
    <row r="215" spans="15:15" x14ac:dyDescent="0.2">
      <c r="O215" t="s">
        <v>497</v>
      </c>
    </row>
    <row r="216" spans="15:15" x14ac:dyDescent="0.2">
      <c r="O216" t="s">
        <v>498</v>
      </c>
    </row>
    <row r="217" spans="15:15" x14ac:dyDescent="0.2">
      <c r="O217" t="s">
        <v>499</v>
      </c>
    </row>
    <row r="218" spans="15:15" x14ac:dyDescent="0.2">
      <c r="O218" t="s">
        <v>500</v>
      </c>
    </row>
    <row r="219" spans="15:15" x14ac:dyDescent="0.2">
      <c r="O219" t="s">
        <v>501</v>
      </c>
    </row>
    <row r="220" spans="15:15" x14ac:dyDescent="0.2">
      <c r="O220" t="s">
        <v>502</v>
      </c>
    </row>
    <row r="221" spans="15:15" x14ac:dyDescent="0.2">
      <c r="O221" t="s">
        <v>503</v>
      </c>
    </row>
    <row r="222" spans="15:15" x14ac:dyDescent="0.2">
      <c r="O222" t="s">
        <v>504</v>
      </c>
    </row>
    <row r="223" spans="15:15" x14ac:dyDescent="0.2">
      <c r="O223" t="s">
        <v>505</v>
      </c>
    </row>
    <row r="224" spans="15:15" x14ac:dyDescent="0.2">
      <c r="O224" t="s">
        <v>506</v>
      </c>
    </row>
    <row r="225" spans="15:15" x14ac:dyDescent="0.2">
      <c r="O225" t="s">
        <v>507</v>
      </c>
    </row>
    <row r="226" spans="15:15" x14ac:dyDescent="0.2">
      <c r="O226" t="s">
        <v>508</v>
      </c>
    </row>
    <row r="227" spans="15:15" x14ac:dyDescent="0.2">
      <c r="O227" t="s">
        <v>509</v>
      </c>
    </row>
    <row r="228" spans="15:15" x14ac:dyDescent="0.2">
      <c r="O228" t="s">
        <v>510</v>
      </c>
    </row>
    <row r="229" spans="15:15" x14ac:dyDescent="0.2">
      <c r="O229" t="s">
        <v>511</v>
      </c>
    </row>
    <row r="230" spans="15:15" x14ac:dyDescent="0.2">
      <c r="O230" t="s">
        <v>512</v>
      </c>
    </row>
    <row r="231" spans="15:15" x14ac:dyDescent="0.2">
      <c r="O231" t="s">
        <v>513</v>
      </c>
    </row>
    <row r="232" spans="15:15" x14ac:dyDescent="0.2">
      <c r="O232" t="s">
        <v>514</v>
      </c>
    </row>
    <row r="233" spans="15:15" x14ac:dyDescent="0.2">
      <c r="O233" t="s">
        <v>515</v>
      </c>
    </row>
    <row r="234" spans="15:15" x14ac:dyDescent="0.2">
      <c r="O234" t="s">
        <v>516</v>
      </c>
    </row>
    <row r="235" spans="15:15" x14ac:dyDescent="0.2">
      <c r="O235" t="s">
        <v>517</v>
      </c>
    </row>
    <row r="236" spans="15:15" x14ac:dyDescent="0.2">
      <c r="O236" t="s">
        <v>518</v>
      </c>
    </row>
    <row r="237" spans="15:15" x14ac:dyDescent="0.2">
      <c r="O237" t="s">
        <v>519</v>
      </c>
    </row>
    <row r="238" spans="15:15" x14ac:dyDescent="0.2">
      <c r="O238" t="s">
        <v>520</v>
      </c>
    </row>
    <row r="239" spans="15:15" x14ac:dyDescent="0.2">
      <c r="O239" t="s">
        <v>521</v>
      </c>
    </row>
    <row r="240" spans="15:15" x14ac:dyDescent="0.2">
      <c r="O240" t="s">
        <v>522</v>
      </c>
    </row>
    <row r="241" spans="15:15" x14ac:dyDescent="0.2">
      <c r="O241" t="s">
        <v>523</v>
      </c>
    </row>
    <row r="242" spans="15:15" x14ac:dyDescent="0.2">
      <c r="O242" t="s">
        <v>524</v>
      </c>
    </row>
    <row r="243" spans="15:15" x14ac:dyDescent="0.2">
      <c r="O243" t="s">
        <v>525</v>
      </c>
    </row>
    <row r="244" spans="15:15" x14ac:dyDescent="0.2">
      <c r="O244" t="s">
        <v>526</v>
      </c>
    </row>
    <row r="245" spans="15:15" x14ac:dyDescent="0.2">
      <c r="O245" t="s">
        <v>527</v>
      </c>
    </row>
    <row r="246" spans="15:15" x14ac:dyDescent="0.2">
      <c r="O246" t="s">
        <v>528</v>
      </c>
    </row>
    <row r="247" spans="15:15" x14ac:dyDescent="0.2">
      <c r="O247" t="s">
        <v>529</v>
      </c>
    </row>
    <row r="248" spans="15:15" x14ac:dyDescent="0.2">
      <c r="O248" t="s">
        <v>530</v>
      </c>
    </row>
    <row r="249" spans="15:15" x14ac:dyDescent="0.2">
      <c r="O249" t="s">
        <v>531</v>
      </c>
    </row>
    <row r="250" spans="15:15" x14ac:dyDescent="0.2">
      <c r="O250" t="s">
        <v>532</v>
      </c>
    </row>
    <row r="251" spans="15:15" x14ac:dyDescent="0.2">
      <c r="O251" t="s">
        <v>533</v>
      </c>
    </row>
    <row r="252" spans="15:15" x14ac:dyDescent="0.2">
      <c r="O252" t="s">
        <v>534</v>
      </c>
    </row>
    <row r="253" spans="15:15" x14ac:dyDescent="0.2">
      <c r="O253" t="s">
        <v>535</v>
      </c>
    </row>
    <row r="254" spans="15:15" x14ac:dyDescent="0.2">
      <c r="O254" t="s">
        <v>536</v>
      </c>
    </row>
    <row r="255" spans="15:15" x14ac:dyDescent="0.2">
      <c r="O255" t="s">
        <v>537</v>
      </c>
    </row>
    <row r="256" spans="15:15" x14ac:dyDescent="0.2">
      <c r="O256" t="s">
        <v>538</v>
      </c>
    </row>
    <row r="257" spans="15:15" x14ac:dyDescent="0.2">
      <c r="O257" t="s">
        <v>539</v>
      </c>
    </row>
    <row r="258" spans="15:15" x14ac:dyDescent="0.2">
      <c r="O258" t="s">
        <v>540</v>
      </c>
    </row>
    <row r="259" spans="15:15" x14ac:dyDescent="0.2">
      <c r="O259" t="s">
        <v>541</v>
      </c>
    </row>
    <row r="260" spans="15:15" x14ac:dyDescent="0.2">
      <c r="O260" t="s">
        <v>542</v>
      </c>
    </row>
    <row r="261" spans="15:15" x14ac:dyDescent="0.2">
      <c r="O261" t="s">
        <v>543</v>
      </c>
    </row>
    <row r="262" spans="15:15" x14ac:dyDescent="0.2">
      <c r="O262" t="s">
        <v>544</v>
      </c>
    </row>
    <row r="263" spans="15:15" x14ac:dyDescent="0.2">
      <c r="O263" t="s">
        <v>545</v>
      </c>
    </row>
    <row r="264" spans="15:15" x14ac:dyDescent="0.2">
      <c r="O264" t="s">
        <v>546</v>
      </c>
    </row>
    <row r="265" spans="15:15" x14ac:dyDescent="0.2">
      <c r="O265" t="s">
        <v>547</v>
      </c>
    </row>
    <row r="266" spans="15:15" x14ac:dyDescent="0.2">
      <c r="O266" t="s">
        <v>548</v>
      </c>
    </row>
    <row r="267" spans="15:15" x14ac:dyDescent="0.2">
      <c r="O267" t="s">
        <v>549</v>
      </c>
    </row>
    <row r="268" spans="15:15" x14ac:dyDescent="0.2">
      <c r="O268" t="s">
        <v>550</v>
      </c>
    </row>
    <row r="269" spans="15:15" x14ac:dyDescent="0.2">
      <c r="O269" t="s">
        <v>551</v>
      </c>
    </row>
    <row r="270" spans="15:15" x14ac:dyDescent="0.2">
      <c r="O270" t="s">
        <v>552</v>
      </c>
    </row>
    <row r="271" spans="15:15" x14ac:dyDescent="0.2">
      <c r="O271" t="s">
        <v>553</v>
      </c>
    </row>
    <row r="272" spans="15:15" x14ac:dyDescent="0.2">
      <c r="O272" t="s">
        <v>554</v>
      </c>
    </row>
    <row r="273" spans="15:15" x14ac:dyDescent="0.2">
      <c r="O273" t="s">
        <v>555</v>
      </c>
    </row>
    <row r="274" spans="15:15" x14ac:dyDescent="0.2">
      <c r="O274" t="s">
        <v>556</v>
      </c>
    </row>
    <row r="275" spans="15:15" x14ac:dyDescent="0.2">
      <c r="O275" t="s">
        <v>557</v>
      </c>
    </row>
    <row r="276" spans="15:15" x14ac:dyDescent="0.2">
      <c r="O276" t="s">
        <v>558</v>
      </c>
    </row>
    <row r="277" spans="15:15" x14ac:dyDescent="0.2">
      <c r="O277" t="s">
        <v>559</v>
      </c>
    </row>
    <row r="278" spans="15:15" x14ac:dyDescent="0.2">
      <c r="O278" t="s">
        <v>560</v>
      </c>
    </row>
    <row r="279" spans="15:15" x14ac:dyDescent="0.2">
      <c r="O279" t="s">
        <v>561</v>
      </c>
    </row>
    <row r="280" spans="15:15" x14ac:dyDescent="0.2">
      <c r="O280" t="s">
        <v>562</v>
      </c>
    </row>
    <row r="281" spans="15:15" x14ac:dyDescent="0.2">
      <c r="O281" t="s">
        <v>563</v>
      </c>
    </row>
    <row r="282" spans="15:15" x14ac:dyDescent="0.2">
      <c r="O282" t="s">
        <v>564</v>
      </c>
    </row>
    <row r="283" spans="15:15" x14ac:dyDescent="0.2">
      <c r="O283" t="s">
        <v>565</v>
      </c>
    </row>
    <row r="284" spans="15:15" x14ac:dyDescent="0.2">
      <c r="O284" t="s">
        <v>566</v>
      </c>
    </row>
    <row r="285" spans="15:15" x14ac:dyDescent="0.2">
      <c r="O285" t="s">
        <v>567</v>
      </c>
    </row>
    <row r="286" spans="15:15" x14ac:dyDescent="0.2">
      <c r="O286" t="s">
        <v>568</v>
      </c>
    </row>
    <row r="287" spans="15:15" x14ac:dyDescent="0.2">
      <c r="O287" t="s">
        <v>569</v>
      </c>
    </row>
    <row r="288" spans="15:15" x14ac:dyDescent="0.2">
      <c r="O288" t="s">
        <v>570</v>
      </c>
    </row>
    <row r="289" spans="15:15" x14ac:dyDescent="0.2">
      <c r="O289" t="s">
        <v>571</v>
      </c>
    </row>
    <row r="290" spans="15:15" x14ac:dyDescent="0.2">
      <c r="O290" t="s">
        <v>572</v>
      </c>
    </row>
    <row r="291" spans="15:15" x14ac:dyDescent="0.2">
      <c r="O291" t="s">
        <v>573</v>
      </c>
    </row>
    <row r="292" spans="15:15" x14ac:dyDescent="0.2">
      <c r="O292" t="s">
        <v>574</v>
      </c>
    </row>
    <row r="293" spans="15:15" x14ac:dyDescent="0.2">
      <c r="O293" t="s">
        <v>575</v>
      </c>
    </row>
    <row r="294" spans="15:15" x14ac:dyDescent="0.2">
      <c r="O294" t="s">
        <v>576</v>
      </c>
    </row>
    <row r="295" spans="15:15" x14ac:dyDescent="0.2">
      <c r="O295" t="s">
        <v>577</v>
      </c>
    </row>
    <row r="296" spans="15:15" x14ac:dyDescent="0.2">
      <c r="O296" t="s">
        <v>578</v>
      </c>
    </row>
    <row r="297" spans="15:15" x14ac:dyDescent="0.2">
      <c r="O297" t="s">
        <v>579</v>
      </c>
    </row>
    <row r="298" spans="15:15" x14ac:dyDescent="0.2">
      <c r="O298" t="s">
        <v>580</v>
      </c>
    </row>
    <row r="299" spans="15:15" x14ac:dyDescent="0.2">
      <c r="O299" t="s">
        <v>581</v>
      </c>
    </row>
    <row r="300" spans="15:15" x14ac:dyDescent="0.2">
      <c r="O300" t="s">
        <v>582</v>
      </c>
    </row>
    <row r="301" spans="15:15" x14ac:dyDescent="0.2">
      <c r="O301" t="s">
        <v>583</v>
      </c>
    </row>
    <row r="302" spans="15:15" x14ac:dyDescent="0.2">
      <c r="O302" t="s">
        <v>584</v>
      </c>
    </row>
    <row r="303" spans="15:15" x14ac:dyDescent="0.2">
      <c r="O303" t="s">
        <v>585</v>
      </c>
    </row>
    <row r="304" spans="15:15" x14ac:dyDescent="0.2">
      <c r="O304" t="s">
        <v>586</v>
      </c>
    </row>
    <row r="305" spans="15:15" x14ac:dyDescent="0.2">
      <c r="O305" t="s">
        <v>587</v>
      </c>
    </row>
    <row r="306" spans="15:15" x14ac:dyDescent="0.2">
      <c r="O306" t="s">
        <v>588</v>
      </c>
    </row>
    <row r="307" spans="15:15" x14ac:dyDescent="0.2">
      <c r="O307" t="s">
        <v>589</v>
      </c>
    </row>
    <row r="308" spans="15:15" x14ac:dyDescent="0.2">
      <c r="O308" t="s">
        <v>590</v>
      </c>
    </row>
    <row r="309" spans="15:15" x14ac:dyDescent="0.2">
      <c r="O309" t="s">
        <v>591</v>
      </c>
    </row>
    <row r="310" spans="15:15" x14ac:dyDescent="0.2">
      <c r="O310" t="s">
        <v>592</v>
      </c>
    </row>
    <row r="311" spans="15:15" x14ac:dyDescent="0.2">
      <c r="O311" t="s">
        <v>593</v>
      </c>
    </row>
    <row r="312" spans="15:15" x14ac:dyDescent="0.2">
      <c r="O312" t="s">
        <v>594</v>
      </c>
    </row>
    <row r="313" spans="15:15" x14ac:dyDescent="0.2">
      <c r="O313" t="s">
        <v>595</v>
      </c>
    </row>
    <row r="314" spans="15:15" x14ac:dyDescent="0.2">
      <c r="O314" t="s">
        <v>596</v>
      </c>
    </row>
    <row r="315" spans="15:15" x14ac:dyDescent="0.2">
      <c r="O315" t="s">
        <v>597</v>
      </c>
    </row>
    <row r="316" spans="15:15" x14ac:dyDescent="0.2">
      <c r="O316" t="s">
        <v>598</v>
      </c>
    </row>
    <row r="317" spans="15:15" x14ac:dyDescent="0.2">
      <c r="O317" t="s">
        <v>599</v>
      </c>
    </row>
    <row r="318" spans="15:15" x14ac:dyDescent="0.2">
      <c r="O318" t="s">
        <v>600</v>
      </c>
    </row>
    <row r="319" spans="15:15" x14ac:dyDescent="0.2">
      <c r="O319" t="s">
        <v>601</v>
      </c>
    </row>
    <row r="320" spans="15:15" x14ac:dyDescent="0.2">
      <c r="O320" t="s">
        <v>602</v>
      </c>
    </row>
    <row r="321" spans="15:15" x14ac:dyDescent="0.2">
      <c r="O321" t="s">
        <v>603</v>
      </c>
    </row>
    <row r="322" spans="15:15" x14ac:dyDescent="0.2">
      <c r="O322" t="s">
        <v>604</v>
      </c>
    </row>
    <row r="323" spans="15:15" x14ac:dyDescent="0.2">
      <c r="O323" t="s">
        <v>605</v>
      </c>
    </row>
    <row r="324" spans="15:15" x14ac:dyDescent="0.2">
      <c r="O324" t="s">
        <v>606</v>
      </c>
    </row>
    <row r="325" spans="15:15" x14ac:dyDescent="0.2">
      <c r="O325" t="s">
        <v>607</v>
      </c>
    </row>
    <row r="326" spans="15:15" x14ac:dyDescent="0.2">
      <c r="O326" t="s">
        <v>608</v>
      </c>
    </row>
    <row r="327" spans="15:15" x14ac:dyDescent="0.2">
      <c r="O327" t="s">
        <v>609</v>
      </c>
    </row>
    <row r="328" spans="15:15" x14ac:dyDescent="0.2">
      <c r="O328" t="s">
        <v>610</v>
      </c>
    </row>
    <row r="329" spans="15:15" x14ac:dyDescent="0.2">
      <c r="O329" t="s">
        <v>611</v>
      </c>
    </row>
    <row r="330" spans="15:15" x14ac:dyDescent="0.2">
      <c r="O330" t="s">
        <v>612</v>
      </c>
    </row>
    <row r="331" spans="15:15" x14ac:dyDescent="0.2">
      <c r="O331" t="s">
        <v>613</v>
      </c>
    </row>
    <row r="332" spans="15:15" x14ac:dyDescent="0.2">
      <c r="O332" t="s">
        <v>614</v>
      </c>
    </row>
    <row r="333" spans="15:15" x14ac:dyDescent="0.2">
      <c r="O333" t="s">
        <v>615</v>
      </c>
    </row>
    <row r="334" spans="15:15" x14ac:dyDescent="0.2">
      <c r="O334" t="s">
        <v>616</v>
      </c>
    </row>
    <row r="335" spans="15:15" x14ac:dyDescent="0.2">
      <c r="O335" t="s">
        <v>617</v>
      </c>
    </row>
    <row r="336" spans="15:15" x14ac:dyDescent="0.2">
      <c r="O336" t="s">
        <v>618</v>
      </c>
    </row>
    <row r="337" spans="15:15" x14ac:dyDescent="0.2">
      <c r="O337" t="s">
        <v>619</v>
      </c>
    </row>
    <row r="338" spans="15:15" x14ac:dyDescent="0.2">
      <c r="O338" t="s">
        <v>620</v>
      </c>
    </row>
    <row r="339" spans="15:15" x14ac:dyDescent="0.2">
      <c r="O339" t="s">
        <v>621</v>
      </c>
    </row>
    <row r="340" spans="15:15" x14ac:dyDescent="0.2">
      <c r="O340" t="s">
        <v>622</v>
      </c>
    </row>
    <row r="341" spans="15:15" x14ac:dyDescent="0.2">
      <c r="O341" t="s">
        <v>623</v>
      </c>
    </row>
    <row r="342" spans="15:15" x14ac:dyDescent="0.2">
      <c r="O342" t="s">
        <v>624</v>
      </c>
    </row>
    <row r="343" spans="15:15" x14ac:dyDescent="0.2">
      <c r="O343" t="s">
        <v>625</v>
      </c>
    </row>
    <row r="344" spans="15:15" x14ac:dyDescent="0.2">
      <c r="O344" t="s">
        <v>626</v>
      </c>
    </row>
    <row r="345" spans="15:15" x14ac:dyDescent="0.2">
      <c r="O345" t="s">
        <v>627</v>
      </c>
    </row>
    <row r="346" spans="15:15" x14ac:dyDescent="0.2">
      <c r="O346" t="s">
        <v>628</v>
      </c>
    </row>
    <row r="347" spans="15:15" x14ac:dyDescent="0.2">
      <c r="O347" t="s">
        <v>629</v>
      </c>
    </row>
    <row r="348" spans="15:15" x14ac:dyDescent="0.2">
      <c r="O348" t="s">
        <v>630</v>
      </c>
    </row>
    <row r="349" spans="15:15" x14ac:dyDescent="0.2">
      <c r="O349" t="s">
        <v>631</v>
      </c>
    </row>
    <row r="350" spans="15:15" x14ac:dyDescent="0.2">
      <c r="O350" t="s">
        <v>632</v>
      </c>
    </row>
    <row r="351" spans="15:15" x14ac:dyDescent="0.2">
      <c r="O351" t="s">
        <v>633</v>
      </c>
    </row>
    <row r="352" spans="15:15" x14ac:dyDescent="0.2">
      <c r="O352" t="s">
        <v>634</v>
      </c>
    </row>
    <row r="353" spans="15:15" x14ac:dyDescent="0.2">
      <c r="O353" t="s">
        <v>635</v>
      </c>
    </row>
    <row r="354" spans="15:15" x14ac:dyDescent="0.2">
      <c r="O354" t="s">
        <v>636</v>
      </c>
    </row>
    <row r="355" spans="15:15" x14ac:dyDescent="0.2">
      <c r="O355" t="s">
        <v>637</v>
      </c>
    </row>
    <row r="356" spans="15:15" x14ac:dyDescent="0.2">
      <c r="O356" t="s">
        <v>638</v>
      </c>
    </row>
    <row r="357" spans="15:15" x14ac:dyDescent="0.2">
      <c r="O357" t="s">
        <v>277</v>
      </c>
    </row>
    <row r="358" spans="15:15" x14ac:dyDescent="0.2">
      <c r="O358" t="s">
        <v>639</v>
      </c>
    </row>
    <row r="359" spans="15:15" x14ac:dyDescent="0.2">
      <c r="O359" t="s">
        <v>640</v>
      </c>
    </row>
    <row r="360" spans="15:15" x14ac:dyDescent="0.2">
      <c r="O360" t="s">
        <v>641</v>
      </c>
    </row>
    <row r="361" spans="15:15" x14ac:dyDescent="0.2">
      <c r="O361" t="s">
        <v>642</v>
      </c>
    </row>
    <row r="362" spans="15:15" x14ac:dyDescent="0.2">
      <c r="O362" t="s">
        <v>643</v>
      </c>
    </row>
    <row r="363" spans="15:15" x14ac:dyDescent="0.2">
      <c r="O363" t="s">
        <v>644</v>
      </c>
    </row>
    <row r="364" spans="15:15" x14ac:dyDescent="0.2">
      <c r="O364" t="s">
        <v>645</v>
      </c>
    </row>
    <row r="365" spans="15:15" x14ac:dyDescent="0.2">
      <c r="O365" t="s">
        <v>646</v>
      </c>
    </row>
    <row r="366" spans="15:15" x14ac:dyDescent="0.2">
      <c r="O366" t="s">
        <v>647</v>
      </c>
    </row>
    <row r="367" spans="15:15" x14ac:dyDescent="0.2">
      <c r="O367" t="s">
        <v>648</v>
      </c>
    </row>
    <row r="368" spans="15:15" x14ac:dyDescent="0.2">
      <c r="O368" t="s">
        <v>649</v>
      </c>
    </row>
    <row r="369" spans="15:15" x14ac:dyDescent="0.2">
      <c r="O369" t="s">
        <v>650</v>
      </c>
    </row>
    <row r="370" spans="15:15" x14ac:dyDescent="0.2">
      <c r="O370" t="s">
        <v>651</v>
      </c>
    </row>
    <row r="371" spans="15:15" x14ac:dyDescent="0.2">
      <c r="O371" t="s">
        <v>276</v>
      </c>
    </row>
    <row r="372" spans="15:15" x14ac:dyDescent="0.2">
      <c r="O372" t="s">
        <v>652</v>
      </c>
    </row>
    <row r="373" spans="15:15" x14ac:dyDescent="0.2">
      <c r="O373" t="s">
        <v>653</v>
      </c>
    </row>
    <row r="374" spans="15:15" x14ac:dyDescent="0.2">
      <c r="O374" t="s">
        <v>654</v>
      </c>
    </row>
    <row r="375" spans="15:15" x14ac:dyDescent="0.2">
      <c r="O375" t="s">
        <v>655</v>
      </c>
    </row>
    <row r="376" spans="15:15" x14ac:dyDescent="0.2">
      <c r="O376" t="s">
        <v>656</v>
      </c>
    </row>
    <row r="377" spans="15:15" x14ac:dyDescent="0.2">
      <c r="O377" t="s">
        <v>657</v>
      </c>
    </row>
    <row r="378" spans="15:15" x14ac:dyDescent="0.2">
      <c r="O378" t="s">
        <v>280</v>
      </c>
    </row>
    <row r="379" spans="15:15" x14ac:dyDescent="0.2">
      <c r="O379" t="s">
        <v>658</v>
      </c>
    </row>
    <row r="380" spans="15:15" x14ac:dyDescent="0.2">
      <c r="O380" t="s">
        <v>659</v>
      </c>
    </row>
    <row r="381" spans="15:15" x14ac:dyDescent="0.2">
      <c r="O381" t="s">
        <v>660</v>
      </c>
    </row>
    <row r="382" spans="15:15" x14ac:dyDescent="0.2">
      <c r="O382" t="s">
        <v>661</v>
      </c>
    </row>
    <row r="383" spans="15:15" x14ac:dyDescent="0.2">
      <c r="O383" t="s">
        <v>662</v>
      </c>
    </row>
    <row r="384" spans="15:15" x14ac:dyDescent="0.2">
      <c r="O384" t="s">
        <v>663</v>
      </c>
    </row>
    <row r="385" spans="15:15" x14ac:dyDescent="0.2">
      <c r="O385" t="s">
        <v>664</v>
      </c>
    </row>
    <row r="386" spans="15:15" x14ac:dyDescent="0.2">
      <c r="O386" t="s">
        <v>665</v>
      </c>
    </row>
    <row r="387" spans="15:15" x14ac:dyDescent="0.2">
      <c r="O387" t="s">
        <v>666</v>
      </c>
    </row>
    <row r="388" spans="15:15" x14ac:dyDescent="0.2">
      <c r="O388" t="s">
        <v>667</v>
      </c>
    </row>
    <row r="389" spans="15:15" x14ac:dyDescent="0.2">
      <c r="O389" t="s">
        <v>668</v>
      </c>
    </row>
    <row r="390" spans="15:15" x14ac:dyDescent="0.2">
      <c r="O390" t="s">
        <v>669</v>
      </c>
    </row>
    <row r="391" spans="15:15" x14ac:dyDescent="0.2">
      <c r="O391" t="s">
        <v>670</v>
      </c>
    </row>
    <row r="392" spans="15:15" x14ac:dyDescent="0.2">
      <c r="O392" t="s">
        <v>671</v>
      </c>
    </row>
    <row r="393" spans="15:15" x14ac:dyDescent="0.2">
      <c r="O393" t="s">
        <v>672</v>
      </c>
    </row>
    <row r="394" spans="15:15" x14ac:dyDescent="0.2">
      <c r="O394" t="s">
        <v>673</v>
      </c>
    </row>
    <row r="395" spans="15:15" x14ac:dyDescent="0.2">
      <c r="O395" t="s">
        <v>674</v>
      </c>
    </row>
    <row r="396" spans="15:15" x14ac:dyDescent="0.2">
      <c r="O396" t="s">
        <v>675</v>
      </c>
    </row>
    <row r="397" spans="15:15" x14ac:dyDescent="0.2">
      <c r="O397" t="s">
        <v>676</v>
      </c>
    </row>
    <row r="398" spans="15:15" x14ac:dyDescent="0.2">
      <c r="O398" t="s">
        <v>677</v>
      </c>
    </row>
    <row r="399" spans="15:15" x14ac:dyDescent="0.2">
      <c r="O399" t="s">
        <v>678</v>
      </c>
    </row>
    <row r="400" spans="15:15" x14ac:dyDescent="0.2">
      <c r="O400" t="s">
        <v>679</v>
      </c>
    </row>
    <row r="401" spans="15:15" x14ac:dyDescent="0.2">
      <c r="O401" t="s">
        <v>680</v>
      </c>
    </row>
    <row r="402" spans="15:15" x14ac:dyDescent="0.2">
      <c r="O402" t="s">
        <v>681</v>
      </c>
    </row>
    <row r="403" spans="15:15" x14ac:dyDescent="0.2">
      <c r="O403" t="s">
        <v>682</v>
      </c>
    </row>
    <row r="404" spans="15:15" x14ac:dyDescent="0.2">
      <c r="O404" t="s">
        <v>683</v>
      </c>
    </row>
    <row r="405" spans="15:15" x14ac:dyDescent="0.2">
      <c r="O405" t="s">
        <v>684</v>
      </c>
    </row>
    <row r="406" spans="15:15" x14ac:dyDescent="0.2">
      <c r="O406" t="s">
        <v>685</v>
      </c>
    </row>
    <row r="407" spans="15:15" x14ac:dyDescent="0.2">
      <c r="O407" t="s">
        <v>686</v>
      </c>
    </row>
    <row r="408" spans="15:15" x14ac:dyDescent="0.2">
      <c r="O408" t="s">
        <v>687</v>
      </c>
    </row>
    <row r="409" spans="15:15" x14ac:dyDescent="0.2">
      <c r="O409" t="s">
        <v>688</v>
      </c>
    </row>
    <row r="410" spans="15:15" x14ac:dyDescent="0.2">
      <c r="O410" t="s">
        <v>689</v>
      </c>
    </row>
    <row r="411" spans="15:15" x14ac:dyDescent="0.2">
      <c r="O411" t="s">
        <v>690</v>
      </c>
    </row>
    <row r="412" spans="15:15" x14ac:dyDescent="0.2">
      <c r="O412" t="s">
        <v>691</v>
      </c>
    </row>
    <row r="413" spans="15:15" x14ac:dyDescent="0.2">
      <c r="O413" t="s">
        <v>692</v>
      </c>
    </row>
    <row r="414" spans="15:15" x14ac:dyDescent="0.2">
      <c r="O414" t="s">
        <v>693</v>
      </c>
    </row>
    <row r="415" spans="15:15" x14ac:dyDescent="0.2">
      <c r="O415" t="s">
        <v>694</v>
      </c>
    </row>
    <row r="416" spans="15:15" x14ac:dyDescent="0.2">
      <c r="O416" t="s">
        <v>695</v>
      </c>
    </row>
    <row r="417" spans="15:15" x14ac:dyDescent="0.2">
      <c r="O417" t="s">
        <v>696</v>
      </c>
    </row>
    <row r="418" spans="15:15" x14ac:dyDescent="0.2">
      <c r="O418" t="s">
        <v>697</v>
      </c>
    </row>
    <row r="419" spans="15:15" x14ac:dyDescent="0.2">
      <c r="O419" t="s">
        <v>698</v>
      </c>
    </row>
    <row r="420" spans="15:15" x14ac:dyDescent="0.2">
      <c r="O420" t="s">
        <v>699</v>
      </c>
    </row>
    <row r="421" spans="15:15" x14ac:dyDescent="0.2">
      <c r="O421" t="s">
        <v>700</v>
      </c>
    </row>
    <row r="422" spans="15:15" x14ac:dyDescent="0.2">
      <c r="O422" t="s">
        <v>701</v>
      </c>
    </row>
    <row r="423" spans="15:15" x14ac:dyDescent="0.2">
      <c r="O423" t="s">
        <v>702</v>
      </c>
    </row>
    <row r="424" spans="15:15" x14ac:dyDescent="0.2">
      <c r="O424" t="s">
        <v>703</v>
      </c>
    </row>
    <row r="425" spans="15:15" x14ac:dyDescent="0.2">
      <c r="O425" t="s">
        <v>704</v>
      </c>
    </row>
    <row r="426" spans="15:15" x14ac:dyDescent="0.2">
      <c r="O426" t="s">
        <v>705</v>
      </c>
    </row>
    <row r="427" spans="15:15" x14ac:dyDescent="0.2">
      <c r="O427" t="s">
        <v>706</v>
      </c>
    </row>
    <row r="428" spans="15:15" x14ac:dyDescent="0.2">
      <c r="O428" t="s">
        <v>707</v>
      </c>
    </row>
    <row r="429" spans="15:15" x14ac:dyDescent="0.2">
      <c r="O429" t="s">
        <v>708</v>
      </c>
    </row>
    <row r="430" spans="15:15" x14ac:dyDescent="0.2">
      <c r="O430" t="s">
        <v>709</v>
      </c>
    </row>
    <row r="431" spans="15:15" x14ac:dyDescent="0.2">
      <c r="O431" t="s">
        <v>710</v>
      </c>
    </row>
    <row r="432" spans="15:15" x14ac:dyDescent="0.2">
      <c r="O432" t="s">
        <v>711</v>
      </c>
    </row>
    <row r="433" spans="15:15" x14ac:dyDescent="0.2">
      <c r="O433" t="s">
        <v>712</v>
      </c>
    </row>
    <row r="434" spans="15:15" x14ac:dyDescent="0.2">
      <c r="O434" t="s">
        <v>713</v>
      </c>
    </row>
    <row r="435" spans="15:15" x14ac:dyDescent="0.2">
      <c r="O435" t="s">
        <v>714</v>
      </c>
    </row>
    <row r="436" spans="15:15" x14ac:dyDescent="0.2">
      <c r="O436" t="s">
        <v>715</v>
      </c>
    </row>
    <row r="437" spans="15:15" x14ac:dyDescent="0.2">
      <c r="O437" t="s">
        <v>716</v>
      </c>
    </row>
    <row r="438" spans="15:15" x14ac:dyDescent="0.2">
      <c r="O438" t="s">
        <v>717</v>
      </c>
    </row>
    <row r="439" spans="15:15" x14ac:dyDescent="0.2">
      <c r="O439" t="s">
        <v>718</v>
      </c>
    </row>
    <row r="440" spans="15:15" x14ac:dyDescent="0.2">
      <c r="O440" t="s">
        <v>719</v>
      </c>
    </row>
    <row r="441" spans="15:15" x14ac:dyDescent="0.2">
      <c r="O441" t="s">
        <v>720</v>
      </c>
    </row>
    <row r="442" spans="15:15" x14ac:dyDescent="0.2">
      <c r="O442" t="s">
        <v>721</v>
      </c>
    </row>
    <row r="443" spans="15:15" x14ac:dyDescent="0.2">
      <c r="O443" t="s">
        <v>722</v>
      </c>
    </row>
    <row r="444" spans="15:15" x14ac:dyDescent="0.2">
      <c r="O444" t="s">
        <v>723</v>
      </c>
    </row>
    <row r="445" spans="15:15" x14ac:dyDescent="0.2">
      <c r="O445" t="s">
        <v>724</v>
      </c>
    </row>
    <row r="446" spans="15:15" x14ac:dyDescent="0.2">
      <c r="O446" t="s">
        <v>725</v>
      </c>
    </row>
    <row r="447" spans="15:15" x14ac:dyDescent="0.2">
      <c r="O447" t="s">
        <v>726</v>
      </c>
    </row>
    <row r="448" spans="15:15" x14ac:dyDescent="0.2">
      <c r="O448" t="s">
        <v>727</v>
      </c>
    </row>
    <row r="449" spans="15:15" x14ac:dyDescent="0.2">
      <c r="O449" t="s">
        <v>728</v>
      </c>
    </row>
    <row r="450" spans="15:15" x14ac:dyDescent="0.2">
      <c r="O450" t="s">
        <v>729</v>
      </c>
    </row>
    <row r="451" spans="15:15" x14ac:dyDescent="0.2">
      <c r="O451" t="s">
        <v>730</v>
      </c>
    </row>
    <row r="452" spans="15:15" x14ac:dyDescent="0.2">
      <c r="O452" t="s">
        <v>731</v>
      </c>
    </row>
    <row r="453" spans="15:15" x14ac:dyDescent="0.2">
      <c r="O453" t="s">
        <v>732</v>
      </c>
    </row>
    <row r="454" spans="15:15" x14ac:dyDescent="0.2">
      <c r="O454" t="s">
        <v>733</v>
      </c>
    </row>
    <row r="455" spans="15:15" x14ac:dyDescent="0.2">
      <c r="O455" t="s">
        <v>734</v>
      </c>
    </row>
    <row r="456" spans="15:15" x14ac:dyDescent="0.2">
      <c r="O456" t="s">
        <v>735</v>
      </c>
    </row>
    <row r="457" spans="15:15" x14ac:dyDescent="0.2">
      <c r="O457" t="s">
        <v>736</v>
      </c>
    </row>
    <row r="458" spans="15:15" x14ac:dyDescent="0.2">
      <c r="O458" t="s">
        <v>737</v>
      </c>
    </row>
    <row r="459" spans="15:15" x14ac:dyDescent="0.2">
      <c r="O459" t="s">
        <v>738</v>
      </c>
    </row>
    <row r="460" spans="15:15" x14ac:dyDescent="0.2">
      <c r="O460" t="s">
        <v>739</v>
      </c>
    </row>
    <row r="461" spans="15:15" x14ac:dyDescent="0.2">
      <c r="O461" t="s">
        <v>740</v>
      </c>
    </row>
    <row r="462" spans="15:15" x14ac:dyDescent="0.2">
      <c r="O462" t="s">
        <v>741</v>
      </c>
    </row>
    <row r="463" spans="15:15" x14ac:dyDescent="0.2">
      <c r="O463" t="s">
        <v>742</v>
      </c>
    </row>
    <row r="464" spans="15:15" x14ac:dyDescent="0.2">
      <c r="O464" t="s">
        <v>743</v>
      </c>
    </row>
    <row r="465" spans="15:15" x14ac:dyDescent="0.2">
      <c r="O465" t="s">
        <v>744</v>
      </c>
    </row>
    <row r="466" spans="15:15" x14ac:dyDescent="0.2">
      <c r="O466" t="s">
        <v>745</v>
      </c>
    </row>
    <row r="467" spans="15:15" x14ac:dyDescent="0.2">
      <c r="O467" t="s">
        <v>746</v>
      </c>
    </row>
    <row r="468" spans="15:15" x14ac:dyDescent="0.2">
      <c r="O468" t="s">
        <v>747</v>
      </c>
    </row>
    <row r="469" spans="15:15" x14ac:dyDescent="0.2">
      <c r="O469" t="s">
        <v>748</v>
      </c>
    </row>
    <row r="470" spans="15:15" x14ac:dyDescent="0.2">
      <c r="O470" t="s">
        <v>749</v>
      </c>
    </row>
    <row r="471" spans="15:15" x14ac:dyDescent="0.2">
      <c r="O471" t="s">
        <v>750</v>
      </c>
    </row>
    <row r="472" spans="15:15" x14ac:dyDescent="0.2">
      <c r="O472" t="s">
        <v>751</v>
      </c>
    </row>
    <row r="473" spans="15:15" x14ac:dyDescent="0.2">
      <c r="O473" t="s">
        <v>752</v>
      </c>
    </row>
    <row r="474" spans="15:15" x14ac:dyDescent="0.2">
      <c r="O474" t="s">
        <v>753</v>
      </c>
    </row>
    <row r="475" spans="15:15" x14ac:dyDescent="0.2">
      <c r="O475" t="s">
        <v>754</v>
      </c>
    </row>
    <row r="476" spans="15:15" x14ac:dyDescent="0.2">
      <c r="O476" t="s">
        <v>755</v>
      </c>
    </row>
    <row r="477" spans="15:15" x14ac:dyDescent="0.2">
      <c r="O477" t="s">
        <v>756</v>
      </c>
    </row>
    <row r="478" spans="15:15" x14ac:dyDescent="0.2">
      <c r="O478" t="s">
        <v>757</v>
      </c>
    </row>
    <row r="479" spans="15:15" x14ac:dyDescent="0.2">
      <c r="O479" t="s">
        <v>758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crop_stage</vt:lpstr>
      <vt:lpstr>crop_weeds</vt:lpstr>
      <vt:lpstr>crop_pest</vt:lpstr>
      <vt:lpstr>crop_disease</vt:lpstr>
      <vt:lpstr>crop_fer</vt:lpstr>
      <vt:lpstr>prod_her</vt:lpstr>
      <vt:lpstr>weed_her</vt:lpstr>
      <vt:lpstr>prod_ins</vt:lpstr>
      <vt:lpstr>pest_ins</vt:lpstr>
      <vt:lpstr>prod_fun</vt:lpstr>
      <vt:lpstr>disease_fun</vt:lpstr>
      <vt:lpstr>prod_fer</vt:lpstr>
      <vt:lpstr>fertilizer</vt:lpstr>
      <vt:lpstr>crop_ref</vt:lpstr>
      <vt:lpstr>price_history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2026-09-09T02:30:51Z</dcterms:modified>
</cp:coreProperties>
</file>